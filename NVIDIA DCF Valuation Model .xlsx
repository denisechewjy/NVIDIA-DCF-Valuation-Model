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\Downloads\"/>
    </mc:Choice>
  </mc:AlternateContent>
  <xr:revisionPtr revIDLastSave="0" documentId="8_{C266E1F9-8230-45FD-B445-88442212EFFF}" xr6:coauthVersionLast="47" xr6:coauthVersionMax="47" xr10:uidLastSave="{00000000-0000-0000-0000-000000000000}"/>
  <bookViews>
    <workbookView xWindow="-108" yWindow="-108" windowWidth="23256" windowHeight="13896" activeTab="1" xr2:uid="{49B16F64-CC87-4CB1-A9FA-3032CD2BEA13}"/>
  </bookViews>
  <sheets>
    <sheet name="WACC" sheetId="2" r:id="rId1"/>
    <sheet name="DCF" sheetId="1" r:id="rId2"/>
    <sheet name="IS" sheetId="3" r:id="rId3"/>
    <sheet name="CFS" sheetId="4" r:id="rId4"/>
  </sheets>
  <definedNames>
    <definedName name="tgr">DCF!$C$16</definedName>
    <definedName name="wacc">DCF!$C$15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3" i="1" l="1"/>
  <c r="N63" i="1" s="1"/>
  <c r="O63" i="1" s="1"/>
  <c r="L63" i="1"/>
  <c r="C16" i="1"/>
  <c r="O75" i="1"/>
  <c r="C5" i="1"/>
  <c r="K68" i="1" s="1"/>
  <c r="L68" i="1" s="1"/>
  <c r="M68" i="1" s="1"/>
  <c r="N68" i="1" s="1"/>
  <c r="O68" i="1" s="1"/>
  <c r="L17" i="1"/>
  <c r="M17" i="1" s="1"/>
  <c r="N17" i="1" s="1"/>
  <c r="O17" i="1" s="1"/>
  <c r="D10" i="2"/>
  <c r="D8" i="2"/>
  <c r="D14" i="2"/>
  <c r="D13" i="2"/>
  <c r="D19" i="2"/>
  <c r="O43" i="1"/>
  <c r="O41" i="1"/>
  <c r="O40" i="1" s="1"/>
  <c r="O38" i="1"/>
  <c r="N38" i="1"/>
  <c r="M38" i="1"/>
  <c r="L38" i="1"/>
  <c r="K38" i="1"/>
  <c r="O25" i="1"/>
  <c r="N25" i="1"/>
  <c r="M25" i="1"/>
  <c r="L25" i="1"/>
  <c r="K25" i="1"/>
  <c r="O42" i="1"/>
  <c r="C40" i="1"/>
  <c r="O23" i="1"/>
  <c r="N23" i="1"/>
  <c r="M23" i="1"/>
  <c r="L23" i="1"/>
  <c r="L48" i="1" s="1"/>
  <c r="K23" i="1"/>
  <c r="K48" i="1" s="1"/>
  <c r="O20" i="1"/>
  <c r="N20" i="1"/>
  <c r="M20" i="1"/>
  <c r="M42" i="1" s="1"/>
  <c r="L20" i="1"/>
  <c r="L42" i="1" s="1"/>
  <c r="K32" i="1"/>
  <c r="J32" i="1"/>
  <c r="I32" i="1"/>
  <c r="H32" i="1"/>
  <c r="G32" i="1"/>
  <c r="F32" i="1"/>
  <c r="E32" i="1"/>
  <c r="D32" i="1"/>
  <c r="C32" i="1"/>
  <c r="J26" i="1"/>
  <c r="J56" i="1" s="1"/>
  <c r="I26" i="1"/>
  <c r="I56" i="1" s="1"/>
  <c r="H26" i="1"/>
  <c r="H56" i="1" s="1"/>
  <c r="G26" i="1"/>
  <c r="G56" i="1" s="1"/>
  <c r="F26" i="1"/>
  <c r="F56" i="1" s="1"/>
  <c r="E26" i="1"/>
  <c r="E56" i="1" s="1"/>
  <c r="D26" i="1"/>
  <c r="D56" i="1" s="1"/>
  <c r="C26" i="1"/>
  <c r="C56" i="1" s="1"/>
  <c r="J29" i="1"/>
  <c r="J59" i="1" s="1"/>
  <c r="I29" i="1"/>
  <c r="I59" i="1" s="1"/>
  <c r="H29" i="1"/>
  <c r="H59" i="1" s="1"/>
  <c r="G29" i="1"/>
  <c r="G59" i="1" s="1"/>
  <c r="F29" i="1"/>
  <c r="F59" i="1" s="1"/>
  <c r="E29" i="1"/>
  <c r="E59" i="1" s="1"/>
  <c r="D29" i="1"/>
  <c r="C29" i="1"/>
  <c r="C59" i="1" s="1"/>
  <c r="J22" i="1"/>
  <c r="J45" i="1" s="1"/>
  <c r="I22" i="1"/>
  <c r="I45" i="1" s="1"/>
  <c r="I46" i="1" s="1"/>
  <c r="H22" i="1"/>
  <c r="H45" i="1" s="1"/>
  <c r="G22" i="1"/>
  <c r="G45" i="1" s="1"/>
  <c r="G46" i="1" s="1"/>
  <c r="F22" i="1"/>
  <c r="F45" i="1" s="1"/>
  <c r="E22" i="1"/>
  <c r="E45" i="1" s="1"/>
  <c r="D22" i="1"/>
  <c r="D45" i="1" s="1"/>
  <c r="C22" i="1"/>
  <c r="C45" i="1" s="1"/>
  <c r="J19" i="1"/>
  <c r="K20" i="1" s="1"/>
  <c r="K42" i="1" s="1"/>
  <c r="I19" i="1"/>
  <c r="I39" i="1" s="1"/>
  <c r="H19" i="1"/>
  <c r="H39" i="1" s="1"/>
  <c r="G19" i="1"/>
  <c r="G39" i="1" s="1"/>
  <c r="F19" i="1"/>
  <c r="F39" i="1" s="1"/>
  <c r="E19" i="1"/>
  <c r="E39" i="1" s="1"/>
  <c r="D19" i="1"/>
  <c r="D39" i="1" s="1"/>
  <c r="C19" i="1"/>
  <c r="C39" i="1" s="1"/>
  <c r="D38" i="1"/>
  <c r="E38" i="1"/>
  <c r="F38" i="1"/>
  <c r="G38" i="1"/>
  <c r="H38" i="1"/>
  <c r="I38" i="1"/>
  <c r="J38" i="1"/>
  <c r="P38" i="1"/>
  <c r="Q38" i="1"/>
  <c r="R38" i="1"/>
  <c r="S38" i="1"/>
  <c r="T38" i="1"/>
  <c r="D25" i="1"/>
  <c r="E25" i="1"/>
  <c r="F25" i="1"/>
  <c r="G25" i="1"/>
  <c r="H25" i="1"/>
  <c r="I25" i="1"/>
  <c r="J25" i="1"/>
  <c r="P25" i="1"/>
  <c r="Q25" i="1"/>
  <c r="C38" i="1"/>
  <c r="C25" i="1"/>
  <c r="C4" i="3"/>
  <c r="B4" i="3"/>
  <c r="L69" i="1" l="1"/>
  <c r="M69" i="1" s="1"/>
  <c r="N69" i="1" s="1"/>
  <c r="O69" i="1" s="1"/>
  <c r="K69" i="1"/>
  <c r="F57" i="1"/>
  <c r="G57" i="1"/>
  <c r="D46" i="1"/>
  <c r="F46" i="1"/>
  <c r="D57" i="1"/>
  <c r="E57" i="1"/>
  <c r="C46" i="1"/>
  <c r="J46" i="1"/>
  <c r="C60" i="1"/>
  <c r="D30" i="1"/>
  <c r="L52" i="1"/>
  <c r="M52" i="1" s="1"/>
  <c r="N52" i="1" s="1"/>
  <c r="H57" i="1"/>
  <c r="H46" i="1"/>
  <c r="D59" i="1"/>
  <c r="D60" i="1" s="1"/>
  <c r="I60" i="1"/>
  <c r="C57" i="1"/>
  <c r="M48" i="1"/>
  <c r="N48" i="1" s="1"/>
  <c r="O48" i="1" s="1"/>
  <c r="L49" i="1"/>
  <c r="M49" i="1" s="1"/>
  <c r="N49" i="1" s="1"/>
  <c r="O49" i="1" s="1"/>
  <c r="L47" i="1"/>
  <c r="K47" i="1"/>
  <c r="K46" i="1" s="1"/>
  <c r="K49" i="1"/>
  <c r="I57" i="1"/>
  <c r="E46" i="1"/>
  <c r="E60" i="1"/>
  <c r="F60" i="1"/>
  <c r="G60" i="1"/>
  <c r="H60" i="1"/>
  <c r="D21" i="2"/>
  <c r="K14" i="1" s="1"/>
  <c r="L43" i="1"/>
  <c r="L41" i="1"/>
  <c r="L40" i="1" s="1"/>
  <c r="K43" i="1"/>
  <c r="K41" i="1"/>
  <c r="K40" i="1" s="1"/>
  <c r="M43" i="1"/>
  <c r="M41" i="1"/>
  <c r="M40" i="1" s="1"/>
  <c r="N42" i="1"/>
  <c r="E30" i="1"/>
  <c r="F30" i="1"/>
  <c r="I27" i="1"/>
  <c r="J39" i="1"/>
  <c r="J57" i="1" s="1"/>
  <c r="G23" i="1"/>
  <c r="C27" i="1"/>
  <c r="D27" i="1"/>
  <c r="F27" i="1"/>
  <c r="G27" i="1"/>
  <c r="H27" i="1"/>
  <c r="C33" i="1"/>
  <c r="D33" i="1"/>
  <c r="E33" i="1"/>
  <c r="F33" i="1"/>
  <c r="G33" i="1"/>
  <c r="H33" i="1"/>
  <c r="H62" i="1" s="1"/>
  <c r="H63" i="1" s="1"/>
  <c r="I33" i="1"/>
  <c r="E20" i="1"/>
  <c r="E40" i="1" s="1"/>
  <c r="E27" i="1"/>
  <c r="J27" i="1"/>
  <c r="D20" i="1"/>
  <c r="D40" i="1" s="1"/>
  <c r="I30" i="1"/>
  <c r="G30" i="1"/>
  <c r="J30" i="1"/>
  <c r="F20" i="1"/>
  <c r="F40" i="1" s="1"/>
  <c r="H30" i="1"/>
  <c r="I20" i="1"/>
  <c r="I40" i="1" s="1"/>
  <c r="G20" i="1"/>
  <c r="G40" i="1" s="1"/>
  <c r="J20" i="1"/>
  <c r="J40" i="1" s="1"/>
  <c r="H20" i="1"/>
  <c r="H40" i="1" s="1"/>
  <c r="C23" i="1"/>
  <c r="D23" i="1"/>
  <c r="E23" i="1"/>
  <c r="F23" i="1"/>
  <c r="H23" i="1"/>
  <c r="I23" i="1"/>
  <c r="J23" i="1"/>
  <c r="C30" i="1"/>
  <c r="K57" i="1" l="1"/>
  <c r="L57" i="1" s="1"/>
  <c r="M57" i="1" s="1"/>
  <c r="N57" i="1" s="1"/>
  <c r="O57" i="1" s="1"/>
  <c r="G14" i="1"/>
  <c r="C15" i="1"/>
  <c r="H35" i="1"/>
  <c r="M47" i="1"/>
  <c r="L46" i="1"/>
  <c r="H34" i="1"/>
  <c r="I35" i="1"/>
  <c r="I62" i="1"/>
  <c r="I63" i="1" s="1"/>
  <c r="F35" i="1"/>
  <c r="F62" i="1"/>
  <c r="F63" i="1" s="1"/>
  <c r="D34" i="1"/>
  <c r="D62" i="1"/>
  <c r="D63" i="1" s="1"/>
  <c r="G34" i="1"/>
  <c r="G62" i="1"/>
  <c r="G63" i="1" s="1"/>
  <c r="C34" i="1"/>
  <c r="C62" i="1"/>
  <c r="C63" i="1" s="1"/>
  <c r="J60" i="1"/>
  <c r="K60" i="1" s="1"/>
  <c r="L60" i="1" s="1"/>
  <c r="M60" i="1" s="1"/>
  <c r="N60" i="1" s="1"/>
  <c r="O60" i="1" s="1"/>
  <c r="E35" i="1"/>
  <c r="E62" i="1"/>
  <c r="E63" i="1" s="1"/>
  <c r="N43" i="1"/>
  <c r="N41" i="1"/>
  <c r="N40" i="1" s="1"/>
  <c r="K39" i="1"/>
  <c r="K45" i="1" s="1"/>
  <c r="E34" i="1"/>
  <c r="D35" i="1"/>
  <c r="F34" i="1"/>
  <c r="I34" i="1"/>
  <c r="G35" i="1"/>
  <c r="K51" i="1" l="1"/>
  <c r="K54" i="1" s="1"/>
  <c r="K63" i="1"/>
  <c r="N47" i="1"/>
  <c r="M46" i="1"/>
  <c r="K59" i="1"/>
  <c r="K56" i="1"/>
  <c r="K62" i="1"/>
  <c r="L39" i="1"/>
  <c r="L56" i="1" s="1"/>
  <c r="L45" i="1" l="1"/>
  <c r="L51" i="1" s="1"/>
  <c r="L54" i="1" s="1"/>
  <c r="O47" i="1"/>
  <c r="O46" i="1" s="1"/>
  <c r="N46" i="1"/>
  <c r="L62" i="1"/>
  <c r="L59" i="1"/>
  <c r="K65" i="1"/>
  <c r="K66" i="1" s="1"/>
  <c r="M39" i="1"/>
  <c r="M56" i="1" s="1"/>
  <c r="M45" i="1" l="1"/>
  <c r="M51" i="1" s="1"/>
  <c r="M54" i="1" s="1"/>
  <c r="L65" i="1"/>
  <c r="L66" i="1" s="1"/>
  <c r="M62" i="1"/>
  <c r="M59" i="1"/>
  <c r="N39" i="1"/>
  <c r="N56" i="1" s="1"/>
  <c r="N45" i="1" l="1"/>
  <c r="N51" i="1" s="1"/>
  <c r="N54" i="1" s="1"/>
  <c r="M65" i="1"/>
  <c r="M66" i="1" s="1"/>
  <c r="N62" i="1"/>
  <c r="N59" i="1"/>
  <c r="O39" i="1"/>
  <c r="O56" i="1" l="1"/>
  <c r="O45" i="1"/>
  <c r="O51" i="1" s="1"/>
  <c r="O54" i="1" s="1"/>
  <c r="N65" i="1"/>
  <c r="N66" i="1" s="1"/>
  <c r="O62" i="1"/>
  <c r="O59" i="1"/>
  <c r="O65" i="1" l="1"/>
  <c r="O66" i="1" l="1"/>
  <c r="O71" i="1"/>
  <c r="O72" i="1" l="1"/>
  <c r="O73" i="1" s="1"/>
  <c r="O76" i="1" s="1"/>
  <c r="O79" i="1" s="1"/>
  <c r="F4" i="1" s="1"/>
  <c r="F6" i="1" s="1"/>
</calcChain>
</file>

<file path=xl/sharedStrings.xml><?xml version="1.0" encoding="utf-8"?>
<sst xmlns="http://schemas.openxmlformats.org/spreadsheetml/2006/main" count="203" uniqueCount="149">
  <si>
    <t>NVIDIA DCF</t>
  </si>
  <si>
    <t>Assumptions</t>
  </si>
  <si>
    <t>Cash Flow Items</t>
  </si>
  <si>
    <t>DCF</t>
  </si>
  <si>
    <t>x</t>
  </si>
  <si>
    <t>Revenue</t>
  </si>
  <si>
    <t>% growth</t>
  </si>
  <si>
    <t>EBIT</t>
  </si>
  <si>
    <t>% of sales</t>
  </si>
  <si>
    <t>Switches</t>
  </si>
  <si>
    <t>WACC</t>
  </si>
  <si>
    <t>TGR</t>
  </si>
  <si>
    <t>Conservative</t>
  </si>
  <si>
    <t>Street / Base</t>
  </si>
  <si>
    <t>Optimistic</t>
  </si>
  <si>
    <t>Taxes</t>
  </si>
  <si>
    <t>Consolidated Statements of Income - USD ($)</t>
  </si>
  <si>
    <t>shares in Millions, $ in Millions</t>
  </si>
  <si>
    <t>12 Months Ended</t>
  </si>
  <si>
    <t>Jan. 25, 2026</t>
  </si>
  <si>
    <t>Jan. 26, 2025</t>
  </si>
  <si>
    <t>Jan. 28, 2024</t>
  </si>
  <si>
    <t>Income Statement [Abstract]</t>
  </si>
  <si>
    <t>Cost of revenue</t>
  </si>
  <si>
    <t>Gross profit</t>
  </si>
  <si>
    <t>Operating expenses</t>
  </si>
  <si>
    <t>Research and development</t>
  </si>
  <si>
    <t>Sales, general and administrative</t>
  </si>
  <si>
    <t>Total operating expenses</t>
  </si>
  <si>
    <t>Operating income</t>
  </si>
  <si>
    <t>Interest income</t>
  </si>
  <si>
    <t>Interest expense</t>
  </si>
  <si>
    <t>Other income, net</t>
  </si>
  <si>
    <t>Total other income, net</t>
  </si>
  <si>
    <t>Income before income tax</t>
  </si>
  <si>
    <t>Income tax expense</t>
  </si>
  <si>
    <t>Net income</t>
  </si>
  <si>
    <t>Net income per share:</t>
  </si>
  <si>
    <t>Basic (in USD per share)</t>
  </si>
  <si>
    <t>Diluted (in USD per share)</t>
  </si>
  <si>
    <t>Weighted average shares used in per share computation:</t>
  </si>
  <si>
    <t>Basic (in shares)</t>
  </si>
  <si>
    <t>Diluted (in shares)</t>
  </si>
  <si>
    <t>Jan. 29, 2023</t>
  </si>
  <si>
    <t>Jan. 30, 2022</t>
  </si>
  <si>
    <t>Jan. 31, 2021</t>
  </si>
  <si>
    <t>Acquisition termination cost</t>
  </si>
  <si>
    <t>Jan. 26, 2020</t>
  </si>
  <si>
    <t>Jan. 27, 2019</t>
  </si>
  <si>
    <t>Jan. 28, 2018</t>
  </si>
  <si>
    <t>Restructuring and other charges</t>
  </si>
  <si>
    <t>NVIDIA Corp</t>
  </si>
  <si>
    <t>\</t>
  </si>
  <si>
    <t>Income Statement (12/31 CYE)</t>
  </si>
  <si>
    <t>D&amp;A</t>
  </si>
  <si>
    <t>CapEx</t>
  </si>
  <si>
    <t>Change in NWC</t>
  </si>
  <si>
    <t>% of change in sales</t>
  </si>
  <si>
    <t>Nvidia Corp</t>
  </si>
  <si>
    <t>$ in Millions</t>
  </si>
  <si>
    <t>Cash flows from operating activities:</t>
  </si>
  <si>
    <t>Adjustments to reconcile net income to net cash provided by operating activities:</t>
  </si>
  <si>
    <t>Stock-based compensation expense</t>
  </si>
  <si>
    <t>Depreciation and amortization</t>
  </si>
  <si>
    <t>Loss on early debt conversions</t>
  </si>
  <si>
    <t>Deferred income taxes</t>
  </si>
  <si>
    <t>Other</t>
  </si>
  <si>
    <t>Accounts receivable</t>
  </si>
  <si>
    <t>Inventories</t>
  </si>
  <si>
    <t>Prepaid expenses and other assets</t>
  </si>
  <si>
    <t>Accounts payable</t>
  </si>
  <si>
    <t>Accrued and other current liabilities</t>
  </si>
  <si>
    <t>Other long-term liabilities</t>
  </si>
  <si>
    <t>Net cash provided by operating activities</t>
  </si>
  <si>
    <t>Cash flows from investing activities:</t>
  </si>
  <si>
    <t>Proceeds from sales of marketable securities</t>
  </si>
  <si>
    <t>Proceeds from maturities of marketable securities</t>
  </si>
  <si>
    <t>Proceeds from sale of long-lived assets and investments</t>
  </si>
  <si>
    <t>Purchases of marketable securities</t>
  </si>
  <si>
    <t>Cash flows from financing activities:</t>
  </si>
  <si>
    <t>Payments related to repurchases of common stock</t>
  </si>
  <si>
    <t>Repayment of Convertible Notes</t>
  </si>
  <si>
    <t>Dividends paid</t>
  </si>
  <si>
    <t>Proceeds related to employee stock plans</t>
  </si>
  <si>
    <t>Payments related to tax on restricted stock units</t>
  </si>
  <si>
    <t>Change in cash and cash equivalents</t>
  </si>
  <si>
    <t>Cash and cash equivalents at beginning of period</t>
  </si>
  <si>
    <t>Cash and cash equivalents at end of period</t>
  </si>
  <si>
    <t>Supplemental disclosures of cash flow information:</t>
  </si>
  <si>
    <t>Cash paid for income taxes, net</t>
  </si>
  <si>
    <t>Changes in operating assets and liabilities, net of acquisitions:</t>
  </si>
  <si>
    <t>Acquisitions, net of cash acquired</t>
  </si>
  <si>
    <t>Purchases related to property and equipment and intangible assets</t>
  </si>
  <si>
    <t>Investments and other, net</t>
  </si>
  <si>
    <t>Issuance of debt, net of issuance costs</t>
  </si>
  <si>
    <t>Repayment of debt</t>
  </si>
  <si>
    <t>Principal payments on property and equipment and intangible assets</t>
  </si>
  <si>
    <t>Consolidated Statements of Cash Flows - USD ($)</t>
  </si>
  <si>
    <t>Gains on non-marketable equity securities and publicly-held equity securities, net</t>
  </si>
  <si>
    <t>Proceeds from sales of non-marketable equity securities</t>
  </si>
  <si>
    <t>Purchases of non-marketable equity securities</t>
  </si>
  <si>
    <t>Groq, Inc.</t>
  </si>
  <si>
    <t>Net cash used in investing activities</t>
  </si>
  <si>
    <t>Payments related to employee stock plan taxes</t>
  </si>
  <si>
    <t>Net cash used in financing activities</t>
  </si>
  <si>
    <t>Losses (gains) on investments in non-affiliates, net</t>
  </si>
  <si>
    <t xml:space="preserve">Change in NWC </t>
  </si>
  <si>
    <t>Change in NWC raw</t>
  </si>
  <si>
    <t>% of EBIT</t>
  </si>
  <si>
    <t>EBIAT</t>
  </si>
  <si>
    <t>-</t>
  </si>
  <si>
    <t>Conservative Case</t>
  </si>
  <si>
    <t>Street Case</t>
  </si>
  <si>
    <t>Optimistic Case</t>
  </si>
  <si>
    <t>Revenue 2030</t>
  </si>
  <si>
    <t>Revenue '27-'28</t>
  </si>
  <si>
    <t>EBIT '27-28</t>
  </si>
  <si>
    <t>Unlevered FCF</t>
  </si>
  <si>
    <t>Present Value of FCF</t>
  </si>
  <si>
    <t>WACC =  (% Equity x Cost of Equity) + (% Debt x Cost of Debt x (1 -Tax rate))</t>
  </si>
  <si>
    <t>Cost of Equity = Risk Free Rate + (Beta x (Expected Market Return - Risk Free Rate))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</si>
  <si>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</si>
  <si>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</si>
  <si>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</si>
  <si>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</si>
  <si>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</si>
  <si>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</si>
  <si>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</si>
  <si>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</si>
  <si>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</si>
  <si>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</si>
  <si>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Market Cap</t>
  </si>
  <si>
    <t>Period</t>
  </si>
  <si>
    <t>Discount Period</t>
  </si>
  <si>
    <t>Ticker</t>
  </si>
  <si>
    <t>Date</t>
  </si>
  <si>
    <t>NVDA</t>
  </si>
  <si>
    <t>Year end</t>
  </si>
  <si>
    <t>Enterprise Value</t>
  </si>
  <si>
    <t>(+) Cash</t>
  </si>
  <si>
    <t>(-) Debt</t>
  </si>
  <si>
    <t>Equity Value</t>
  </si>
  <si>
    <t>Diluted Shares</t>
  </si>
  <si>
    <t>Implied Stock Price</t>
  </si>
  <si>
    <t>Terminal Value</t>
  </si>
  <si>
    <t>Present Value of terminal value</t>
  </si>
  <si>
    <t>Implied Share Price</t>
  </si>
  <si>
    <t>Current Share Price</t>
  </si>
  <si>
    <t>Implied Gain /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</si>
</sst>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8" formatCode="0.0%"/>
    <numFmt numFmtId="175" formatCode="0&quot;E&quot;"/>
    <numFmt numFmtId="186" formatCode="0.000%"/>
    <numFmt numFmtId="195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9" fontId="0" fillId="0" borderId="0" xfId="2" applyFont="1"/>
    <xf numFmtId="0" fontId="4" fillId="0" borderId="0" xfId="0" applyFont="1"/>
    <xf numFmtId="0" fontId="6" fillId="0" borderId="0" xfId="0" applyFont="1"/>
    <xf numFmtId="0" fontId="0" fillId="2" borderId="0" xfId="0" applyFill="1"/>
    <xf numFmtId="0" fontId="2" fillId="2" borderId="0" xfId="0" applyFont="1" applyFill="1"/>
    <xf numFmtId="0" fontId="2" fillId="0" borderId="0" xfId="0" applyFont="1" applyFill="1"/>
    <xf numFmtId="0" fontId="0" fillId="0" borderId="0" xfId="0" applyFill="1"/>
    <xf numFmtId="0" fontId="5" fillId="0" borderId="0" xfId="0" applyFont="1" applyFill="1"/>
    <xf numFmtId="0" fontId="8" fillId="0" borderId="0" xfId="0" applyFont="1" applyFill="1"/>
    <xf numFmtId="0" fontId="8" fillId="0" borderId="0" xfId="0" applyFont="1"/>
    <xf numFmtId="0" fontId="9" fillId="0" borderId="0" xfId="0" applyFont="1" applyFill="1"/>
    <xf numFmtId="6" fontId="0" fillId="0" borderId="0" xfId="0" applyNumberFormat="1"/>
    <xf numFmtId="3" fontId="0" fillId="0" borderId="0" xfId="0" applyNumberFormat="1"/>
    <xf numFmtId="8" fontId="0" fillId="0" borderId="0" xfId="0" applyNumberFormat="1"/>
    <xf numFmtId="41" fontId="7" fillId="0" borderId="0" xfId="0" applyNumberFormat="1" applyFont="1" applyFill="1"/>
    <xf numFmtId="41" fontId="10" fillId="0" borderId="0" xfId="0" applyNumberFormat="1" applyFont="1"/>
    <xf numFmtId="9" fontId="7" fillId="0" borderId="0" xfId="2" applyFont="1" applyFill="1"/>
    <xf numFmtId="0" fontId="11" fillId="0" borderId="0" xfId="0" applyFont="1" applyFill="1"/>
    <xf numFmtId="9" fontId="11" fillId="0" borderId="0" xfId="2" applyFont="1" applyFill="1"/>
    <xf numFmtId="0" fontId="11" fillId="0" borderId="0" xfId="0" applyFont="1"/>
    <xf numFmtId="0" fontId="12" fillId="0" borderId="0" xfId="0" applyFont="1"/>
    <xf numFmtId="9" fontId="12" fillId="0" borderId="0" xfId="2" applyFont="1"/>
    <xf numFmtId="1" fontId="3" fillId="0" borderId="0" xfId="0" applyNumberFormat="1" applyFont="1"/>
    <xf numFmtId="41" fontId="3" fillId="0" borderId="0" xfId="0" applyNumberFormat="1" applyFont="1" applyFill="1"/>
    <xf numFmtId="1" fontId="3" fillId="0" borderId="0" xfId="0" applyNumberFormat="1" applyFont="1" applyFill="1"/>
    <xf numFmtId="3" fontId="3" fillId="0" borderId="0" xfId="0" applyNumberFormat="1" applyFont="1"/>
    <xf numFmtId="41" fontId="3" fillId="4" borderId="0" xfId="0" applyNumberFormat="1" applyFont="1" applyFill="1"/>
    <xf numFmtId="3" fontId="3" fillId="4" borderId="0" xfId="0" applyNumberFormat="1" applyFont="1" applyFill="1"/>
    <xf numFmtId="3" fontId="3" fillId="4" borderId="0" xfId="0" applyNumberFormat="1" applyFont="1" applyFill="1" applyAlignment="1">
      <alignment vertical="center" wrapText="1"/>
    </xf>
    <xf numFmtId="41" fontId="3" fillId="5" borderId="0" xfId="0" applyNumberFormat="1" applyFont="1" applyFill="1"/>
    <xf numFmtId="3" fontId="3" fillId="5" borderId="0" xfId="0" applyNumberFormat="1" applyFont="1" applyFill="1"/>
    <xf numFmtId="41" fontId="13" fillId="0" borderId="0" xfId="0" applyNumberFormat="1" applyFont="1" applyFill="1"/>
    <xf numFmtId="41" fontId="13" fillId="0" borderId="0" xfId="0" applyNumberFormat="1" applyFont="1"/>
    <xf numFmtId="175" fontId="2" fillId="2" borderId="0" xfId="0" applyNumberFormat="1" applyFont="1" applyFill="1"/>
    <xf numFmtId="0" fontId="8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9" fontId="8" fillId="3" borderId="0" xfId="2" applyFont="1" applyFill="1" applyAlignment="1">
      <alignment horizontal="center"/>
    </xf>
    <xf numFmtId="9" fontId="8" fillId="3" borderId="0" xfId="2" applyNumberFormat="1" applyFont="1" applyFill="1" applyAlignment="1">
      <alignment horizontal="center"/>
    </xf>
    <xf numFmtId="9" fontId="8" fillId="3" borderId="0" xfId="0" applyNumberFormat="1" applyFont="1" applyFill="1" applyAlignment="1">
      <alignment horizontal="center"/>
    </xf>
    <xf numFmtId="0" fontId="0" fillId="0" borderId="1" xfId="0" applyBorder="1"/>
    <xf numFmtId="4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3" xfId="0" applyBorder="1"/>
    <xf numFmtId="0" fontId="6" fillId="0" borderId="3" xfId="0" applyFont="1" applyBorder="1"/>
    <xf numFmtId="0" fontId="2" fillId="6" borderId="0" xfId="0" applyFont="1" applyFill="1"/>
    <xf numFmtId="0" fontId="0" fillId="6" borderId="0" xfId="0" applyFill="1"/>
    <xf numFmtId="0" fontId="4" fillId="7" borderId="4" xfId="0" applyFont="1" applyFill="1" applyBorder="1"/>
    <xf numFmtId="0" fontId="0" fillId="7" borderId="1" xfId="0" applyFill="1" applyBorder="1"/>
    <xf numFmtId="10" fontId="4" fillId="7" borderId="5" xfId="0" applyNumberFormat="1" applyFont="1" applyFill="1" applyBorder="1"/>
    <xf numFmtId="0" fontId="0" fillId="0" borderId="0" xfId="0" applyBorder="1"/>
    <xf numFmtId="3" fontId="0" fillId="0" borderId="0" xfId="0" applyNumberFormat="1" applyBorder="1"/>
    <xf numFmtId="168" fontId="0" fillId="0" borderId="0" xfId="0" applyNumberFormat="1" applyBorder="1"/>
    <xf numFmtId="168" fontId="0" fillId="3" borderId="0" xfId="0" applyNumberFormat="1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10" fontId="0" fillId="3" borderId="0" xfId="0" applyNumberFormat="1" applyFill="1" applyBorder="1" applyAlignment="1">
      <alignment horizontal="right"/>
    </xf>
    <xf numFmtId="186" fontId="0" fillId="3" borderId="0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2" applyNumberFormat="1" applyFont="1" applyBorder="1"/>
    <xf numFmtId="9" fontId="8" fillId="0" borderId="0" xfId="0" applyNumberFormat="1" applyFont="1" applyFill="1" applyAlignment="1">
      <alignment horizontal="center"/>
    </xf>
    <xf numFmtId="168" fontId="8" fillId="3" borderId="0" xfId="0" applyNumberFormat="1" applyFont="1" applyFill="1" applyAlignment="1">
      <alignment horizontal="center"/>
    </xf>
    <xf numFmtId="10" fontId="8" fillId="3" borderId="0" xfId="0" applyNumberFormat="1" applyFont="1" applyFill="1" applyAlignment="1">
      <alignment horizontal="center"/>
    </xf>
    <xf numFmtId="168" fontId="8" fillId="3" borderId="0" xfId="2" applyNumberFormat="1" applyFont="1" applyFill="1" applyAlignment="1">
      <alignment horizontal="center"/>
    </xf>
    <xf numFmtId="10" fontId="8" fillId="3" borderId="0" xfId="2" applyNumberFormat="1" applyFont="1" applyFill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0" fontId="2" fillId="2" borderId="0" xfId="0" applyFont="1" applyFill="1" applyAlignment="1">
      <alignment horizontal="center"/>
    </xf>
    <xf numFmtId="175" fontId="2" fillId="2" borderId="0" xfId="0" applyNumberFormat="1" applyFont="1" applyFill="1" applyAlignment="1">
      <alignment horizontal="center"/>
    </xf>
    <xf numFmtId="41" fontId="10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center"/>
    </xf>
    <xf numFmtId="9" fontId="0" fillId="3" borderId="0" xfId="0" applyNumberFormat="1" applyFill="1" applyAlignment="1">
      <alignment horizontal="center"/>
    </xf>
    <xf numFmtId="168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/>
    </xf>
    <xf numFmtId="4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95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95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9" fontId="0" fillId="0" borderId="0" xfId="2" applyFont="1" applyAlignment="1">
      <alignment horizontal="center"/>
    </xf>
    <xf numFmtId="41" fontId="10" fillId="0" borderId="0" xfId="0" applyNumberFormat="1" applyFont="1" applyAlignment="1"/>
    <xf numFmtId="41" fontId="0" fillId="0" borderId="0" xfId="0" applyNumberFormat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7843-B044-4D06-8EB1-C4052E630FD0}">
  <dimension ref="A1:I21"/>
  <sheetViews>
    <sheetView showGridLines="0" topLeftCell="A3" workbookViewId="0">
      <selection activeCell="D7" sqref="D7"/>
    </sheetView>
  </sheetViews>
  <sheetFormatPr defaultRowHeight="15" x14ac:dyDescent="0.25"/>
  <cols>
    <col min="4" max="4" width="10.140625" bestFit="1" customWidth="1"/>
  </cols>
  <sheetData>
    <row r="1" spans="1:9" ht="21" x14ac:dyDescent="0.35">
      <c r="A1" s="43"/>
      <c r="B1" s="44" t="s">
        <v>10</v>
      </c>
      <c r="C1" s="43"/>
      <c r="D1" s="43"/>
      <c r="E1" s="43"/>
      <c r="F1" s="43"/>
      <c r="G1" s="43"/>
      <c r="H1" s="43"/>
      <c r="I1" s="43"/>
    </row>
    <row r="3" spans="1:9" x14ac:dyDescent="0.25">
      <c r="A3" t="s">
        <v>4</v>
      </c>
      <c r="B3" s="45" t="s">
        <v>10</v>
      </c>
      <c r="C3" s="46"/>
      <c r="D3" s="46"/>
      <c r="E3" s="46"/>
      <c r="F3" s="46"/>
      <c r="G3" s="46"/>
      <c r="H3" s="46"/>
      <c r="I3" s="46"/>
    </row>
    <row r="4" spans="1:9" x14ac:dyDescent="0.25">
      <c r="B4" s="2" t="s">
        <v>119</v>
      </c>
    </row>
    <row r="5" spans="1:9" x14ac:dyDescent="0.25">
      <c r="B5" s="2" t="s">
        <v>120</v>
      </c>
    </row>
    <row r="7" spans="1:9" x14ac:dyDescent="0.25">
      <c r="B7" t="s">
        <v>121</v>
      </c>
      <c r="D7" s="13">
        <v>32366</v>
      </c>
    </row>
    <row r="8" spans="1:9" x14ac:dyDescent="0.25">
      <c r="B8" t="s">
        <v>122</v>
      </c>
      <c r="D8" s="57">
        <f>D7/(D7+D12)</f>
        <v>5.7059082576829496E-3</v>
      </c>
    </row>
    <row r="9" spans="1:9" x14ac:dyDescent="0.25">
      <c r="B9" t="s">
        <v>123</v>
      </c>
      <c r="D9" s="53">
        <v>2.4E-2</v>
      </c>
    </row>
    <row r="10" spans="1:9" x14ac:dyDescent="0.25">
      <c r="B10" t="s">
        <v>124</v>
      </c>
      <c r="D10" s="53">
        <f>DCF!K13</f>
        <v>0.17</v>
      </c>
    </row>
    <row r="11" spans="1:9" x14ac:dyDescent="0.25">
      <c r="D11" s="50"/>
    </row>
    <row r="12" spans="1:9" x14ac:dyDescent="0.25">
      <c r="B12" t="s">
        <v>131</v>
      </c>
      <c r="D12" s="51">
        <v>5640000</v>
      </c>
    </row>
    <row r="13" spans="1:9" x14ac:dyDescent="0.25">
      <c r="B13" t="s">
        <v>125</v>
      </c>
      <c r="D13" s="58">
        <f>D12/(D12+D7)</f>
        <v>0.99429409174231709</v>
      </c>
    </row>
    <row r="14" spans="1:9" x14ac:dyDescent="0.25">
      <c r="B14" t="s">
        <v>126</v>
      </c>
      <c r="D14" s="52">
        <f>D15+(D16*D17)</f>
        <v>0.14465800000000001</v>
      </c>
    </row>
    <row r="15" spans="1:9" x14ac:dyDescent="0.25">
      <c r="B15" t="s">
        <v>127</v>
      </c>
      <c r="D15" s="56">
        <v>5.2749999999999998E-2</v>
      </c>
    </row>
    <row r="16" spans="1:9" x14ac:dyDescent="0.25">
      <c r="B16" t="s">
        <v>128</v>
      </c>
      <c r="D16" s="54">
        <v>2.2200000000000002</v>
      </c>
    </row>
    <row r="17" spans="1:4" x14ac:dyDescent="0.25">
      <c r="B17" t="s">
        <v>129</v>
      </c>
      <c r="D17" s="55">
        <v>4.1399999999999999E-2</v>
      </c>
    </row>
    <row r="19" spans="1:4" x14ac:dyDescent="0.25">
      <c r="B19" t="s">
        <v>130</v>
      </c>
      <c r="D19" s="13">
        <f>D7+D12</f>
        <v>5672366</v>
      </c>
    </row>
    <row r="21" spans="1:4" x14ac:dyDescent="0.25">
      <c r="A21" t="s">
        <v>4</v>
      </c>
      <c r="B21" s="47" t="s">
        <v>10</v>
      </c>
      <c r="C21" s="48"/>
      <c r="D21" s="49">
        <f>(D13*D14)+(D8*(D9*(1-D10)))</f>
        <v>0.14394625641575318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EE47-D66F-481E-A3ED-8B93817789C0}">
  <dimension ref="A1:W79"/>
  <sheetViews>
    <sheetView showGridLines="0" tabSelected="1" topLeftCell="A62" workbookViewId="0">
      <selection activeCell="O71" sqref="O71"/>
    </sheetView>
  </sheetViews>
  <sheetFormatPr defaultRowHeight="15" x14ac:dyDescent="0.25"/>
  <cols>
    <col min="1" max="1" width="2.7109375" customWidth="1"/>
    <col min="2" max="2" width="28.85546875" customWidth="1"/>
    <col min="3" max="3" width="12.7109375" bestFit="1" customWidth="1"/>
    <col min="4" max="4" width="11.28515625" bestFit="1" customWidth="1"/>
    <col min="5" max="5" width="17.28515625" customWidth="1"/>
    <col min="6" max="6" width="13.5703125" customWidth="1"/>
    <col min="10" max="10" width="12.7109375" bestFit="1" customWidth="1"/>
    <col min="11" max="13" width="12.5703125" bestFit="1" customWidth="1"/>
    <col min="14" max="14" width="14" customWidth="1"/>
    <col min="15" max="15" width="14.140625" bestFit="1" customWidth="1"/>
  </cols>
  <sheetData>
    <row r="1" spans="1:23" x14ac:dyDescent="0.25">
      <c r="A1" s="1"/>
    </row>
    <row r="2" spans="1:23" ht="21" x14ac:dyDescent="0.35">
      <c r="B2" s="3" t="s">
        <v>0</v>
      </c>
    </row>
    <row r="3" spans="1:23" ht="21" x14ac:dyDescent="0.35">
      <c r="B3" s="3"/>
    </row>
    <row r="4" spans="1:23" x14ac:dyDescent="0.25">
      <c r="B4" s="66" t="s">
        <v>134</v>
      </c>
      <c r="C4" s="67" t="s">
        <v>136</v>
      </c>
      <c r="D4" s="67"/>
      <c r="E4" s="67" t="s">
        <v>146</v>
      </c>
      <c r="F4" s="68">
        <f ca="1">O79</f>
        <v>215.30018488731321</v>
      </c>
    </row>
    <row r="5" spans="1:23" x14ac:dyDescent="0.25">
      <c r="B5" s="66" t="s">
        <v>135</v>
      </c>
      <c r="C5" s="69">
        <f ca="1">TODAY()</f>
        <v>46301</v>
      </c>
      <c r="D5" s="67"/>
      <c r="E5" s="67" t="s">
        <v>147</v>
      </c>
      <c r="F5" s="70">
        <v>238.9</v>
      </c>
    </row>
    <row r="6" spans="1:23" x14ac:dyDescent="0.25">
      <c r="B6" s="66" t="s">
        <v>137</v>
      </c>
      <c r="C6" s="69">
        <v>46387</v>
      </c>
      <c r="D6" s="69"/>
      <c r="E6" s="67" t="s">
        <v>148</v>
      </c>
      <c r="F6" s="89">
        <f ca="1">F4/F5-1</f>
        <v>-9.8785329061058191E-2</v>
      </c>
    </row>
    <row r="8" spans="1:23" x14ac:dyDescent="0.25">
      <c r="A8" t="s">
        <v>4</v>
      </c>
      <c r="B8" s="5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5">
      <c r="B9" s="11" t="s">
        <v>9</v>
      </c>
      <c r="C9" s="9"/>
      <c r="D9" s="9"/>
      <c r="E9" s="9"/>
      <c r="F9" s="11" t="s">
        <v>12</v>
      </c>
      <c r="G9" s="9"/>
      <c r="H9" s="9"/>
      <c r="I9" s="9"/>
      <c r="J9" s="11" t="s">
        <v>13</v>
      </c>
      <c r="K9" s="9"/>
      <c r="L9" s="9"/>
      <c r="M9" s="9"/>
      <c r="N9" s="11" t="s">
        <v>14</v>
      </c>
      <c r="O9" s="9"/>
      <c r="P9" s="9"/>
      <c r="Q9" s="9"/>
      <c r="R9" s="7"/>
      <c r="S9" s="7"/>
      <c r="T9" s="7"/>
      <c r="U9" s="7"/>
      <c r="V9" s="7"/>
      <c r="W9" s="7"/>
    </row>
    <row r="10" spans="1:23" x14ac:dyDescent="0.25">
      <c r="B10" s="9" t="s">
        <v>5</v>
      </c>
      <c r="C10" s="35">
        <v>2</v>
      </c>
      <c r="D10" s="9"/>
      <c r="E10" s="9"/>
      <c r="F10" s="9" t="s">
        <v>115</v>
      </c>
      <c r="G10" s="37">
        <v>0.8</v>
      </c>
      <c r="H10" s="9"/>
      <c r="I10" s="9"/>
      <c r="J10" s="9"/>
      <c r="K10" s="9"/>
      <c r="L10" s="9"/>
      <c r="M10" s="9"/>
      <c r="N10" s="9" t="s">
        <v>115</v>
      </c>
      <c r="O10" s="37">
        <v>1.2</v>
      </c>
      <c r="P10" s="9"/>
      <c r="Q10" s="9"/>
      <c r="R10" s="7"/>
      <c r="S10" s="7"/>
      <c r="T10" s="7"/>
      <c r="U10" s="7"/>
      <c r="V10" s="7"/>
      <c r="W10" s="7"/>
    </row>
    <row r="11" spans="1:23" x14ac:dyDescent="0.25">
      <c r="B11" s="9" t="s">
        <v>7</v>
      </c>
      <c r="C11" s="35">
        <v>2</v>
      </c>
      <c r="D11" s="9"/>
      <c r="E11" s="9"/>
      <c r="F11" s="9" t="s">
        <v>114</v>
      </c>
      <c r="G11" s="38">
        <v>0.08</v>
      </c>
      <c r="H11" s="9"/>
      <c r="I11" s="9"/>
      <c r="J11" s="9" t="s">
        <v>114</v>
      </c>
      <c r="K11" s="38">
        <v>0.15</v>
      </c>
      <c r="L11" s="9"/>
      <c r="M11" s="9"/>
      <c r="N11" s="9" t="s">
        <v>114</v>
      </c>
      <c r="O11" s="38">
        <v>0.28000000000000003</v>
      </c>
      <c r="P11" s="9"/>
      <c r="Q11" s="9"/>
      <c r="R11" s="7"/>
      <c r="S11" s="7"/>
      <c r="T11" s="7"/>
      <c r="U11" s="7"/>
      <c r="V11" s="7"/>
      <c r="W11" s="7"/>
    </row>
    <row r="12" spans="1:23" x14ac:dyDescent="0.25">
      <c r="B12" s="9" t="s">
        <v>10</v>
      </c>
      <c r="C12" s="35">
        <v>3</v>
      </c>
      <c r="D12" s="9"/>
      <c r="E12" s="9"/>
      <c r="F12" s="9" t="s">
        <v>116</v>
      </c>
      <c r="G12" s="39">
        <v>0.9</v>
      </c>
      <c r="H12" s="9"/>
      <c r="I12" s="9"/>
      <c r="J12" s="9"/>
      <c r="K12" s="36"/>
      <c r="L12" s="9"/>
      <c r="M12" s="9"/>
      <c r="N12" s="9" t="s">
        <v>116</v>
      </c>
      <c r="O12" s="39">
        <v>1.05</v>
      </c>
      <c r="P12" s="9"/>
      <c r="Q12" s="9"/>
      <c r="R12" s="7"/>
      <c r="S12" s="7"/>
      <c r="T12" s="7"/>
      <c r="U12" s="7"/>
      <c r="V12" s="7"/>
      <c r="W12" s="7"/>
    </row>
    <row r="13" spans="1:23" x14ac:dyDescent="0.25">
      <c r="B13" s="9" t="s">
        <v>11</v>
      </c>
      <c r="C13" s="35">
        <v>2</v>
      </c>
      <c r="D13" s="9"/>
      <c r="E13" s="9"/>
      <c r="F13" s="9"/>
      <c r="G13" s="59"/>
      <c r="H13" s="9"/>
      <c r="I13" s="9"/>
      <c r="J13" s="10" t="s">
        <v>15</v>
      </c>
      <c r="K13" s="62">
        <v>0.17</v>
      </c>
      <c r="L13" s="9"/>
      <c r="M13" s="9"/>
      <c r="N13" s="9"/>
      <c r="O13" s="59"/>
      <c r="P13" s="9"/>
      <c r="Q13" s="9"/>
      <c r="R13" s="7"/>
      <c r="S13" s="7"/>
      <c r="T13" s="7"/>
      <c r="U13" s="7"/>
      <c r="V13" s="7"/>
      <c r="W13" s="7"/>
    </row>
    <row r="14" spans="1:23" x14ac:dyDescent="0.25">
      <c r="B14" s="9"/>
      <c r="C14" s="36"/>
      <c r="D14" s="9"/>
      <c r="E14" s="9"/>
      <c r="F14" s="9" t="s">
        <v>10</v>
      </c>
      <c r="G14" s="61">
        <f>K14+0.5%</f>
        <v>0.14894625641575318</v>
      </c>
      <c r="H14" s="9"/>
      <c r="I14" s="9"/>
      <c r="J14" s="9" t="s">
        <v>10</v>
      </c>
      <c r="K14" s="61">
        <f>WACC!D21</f>
        <v>0.14394625641575318</v>
      </c>
      <c r="L14" s="9"/>
      <c r="M14" s="9"/>
      <c r="N14" s="9" t="s">
        <v>10</v>
      </c>
      <c r="O14" s="61">
        <v>0.125</v>
      </c>
      <c r="P14" s="9"/>
      <c r="Q14" s="9"/>
      <c r="R14" s="7"/>
      <c r="S14" s="7"/>
      <c r="T14" s="7"/>
      <c r="U14" s="7"/>
      <c r="V14" s="7"/>
      <c r="W14" s="7"/>
    </row>
    <row r="15" spans="1:23" x14ac:dyDescent="0.25">
      <c r="B15" s="9" t="s">
        <v>10</v>
      </c>
      <c r="C15" s="63">
        <f>CHOOSE($C$12,G14,K14,O14)</f>
        <v>0.125</v>
      </c>
      <c r="D15" s="9"/>
      <c r="E15" s="9"/>
      <c r="F15" s="9" t="s">
        <v>11</v>
      </c>
      <c r="G15" s="60">
        <v>0.02</v>
      </c>
      <c r="H15" s="9"/>
      <c r="I15" s="9"/>
      <c r="J15" s="9" t="s">
        <v>11</v>
      </c>
      <c r="K15" s="62">
        <v>2.5000000000000001E-2</v>
      </c>
      <c r="L15" s="9"/>
      <c r="M15" s="9"/>
      <c r="N15" s="9" t="s">
        <v>11</v>
      </c>
      <c r="O15" s="60">
        <v>0.03</v>
      </c>
      <c r="P15" s="9"/>
      <c r="Q15" s="9"/>
      <c r="R15" s="7"/>
      <c r="S15" s="7"/>
      <c r="T15" s="7"/>
      <c r="U15" s="7"/>
      <c r="V15" s="7"/>
      <c r="W15" s="7"/>
    </row>
    <row r="16" spans="1:23" x14ac:dyDescent="0.25">
      <c r="B16" s="10" t="s">
        <v>11</v>
      </c>
      <c r="C16" s="63">
        <f>CHOOSE($C$13,G15,K15,O15)</f>
        <v>2.5000000000000001E-2</v>
      </c>
      <c r="D16" s="10"/>
      <c r="E16" s="10"/>
      <c r="F16" s="10"/>
      <c r="G16" s="10"/>
      <c r="H16" s="10"/>
      <c r="I16" s="10"/>
      <c r="L16" s="10"/>
      <c r="M16" s="10"/>
      <c r="N16" s="10"/>
      <c r="O16" s="10"/>
      <c r="P16" s="10"/>
      <c r="Q16" s="10"/>
    </row>
    <row r="17" spans="1:23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>
        <v>1</v>
      </c>
      <c r="L17">
        <f>K17+1</f>
        <v>2</v>
      </c>
      <c r="M17" s="10">
        <f>L17+1</f>
        <v>3</v>
      </c>
      <c r="N17" s="10">
        <f>M17+1</f>
        <v>4</v>
      </c>
      <c r="O17" s="10">
        <f>N17+1</f>
        <v>5</v>
      </c>
      <c r="P17" s="10"/>
      <c r="Q17" s="10"/>
    </row>
    <row r="18" spans="1:23" hidden="1" x14ac:dyDescent="0.25">
      <c r="A18" t="s">
        <v>4</v>
      </c>
      <c r="B18" s="5" t="s">
        <v>53</v>
      </c>
      <c r="C18" s="5">
        <v>2018</v>
      </c>
      <c r="D18" s="5">
        <v>2019</v>
      </c>
      <c r="E18" s="5">
        <v>2020</v>
      </c>
      <c r="F18" s="5">
        <v>2021</v>
      </c>
      <c r="G18" s="5">
        <v>2022</v>
      </c>
      <c r="H18" s="5">
        <v>2023</v>
      </c>
      <c r="I18" s="5">
        <v>2024</v>
      </c>
      <c r="J18" s="5">
        <v>2025</v>
      </c>
      <c r="K18" s="34">
        <v>2026</v>
      </c>
      <c r="L18" s="34">
        <v>2027</v>
      </c>
      <c r="M18" s="34">
        <v>2028</v>
      </c>
      <c r="N18" s="34">
        <v>2029</v>
      </c>
      <c r="O18" s="34">
        <v>2030</v>
      </c>
      <c r="P18" s="6"/>
      <c r="Q18" s="6"/>
      <c r="R18" s="6"/>
      <c r="S18" s="6"/>
      <c r="T18" s="7"/>
      <c r="U18" s="7"/>
      <c r="V18" s="7"/>
      <c r="W18" s="7"/>
    </row>
    <row r="19" spans="1:23" hidden="1" x14ac:dyDescent="0.25">
      <c r="B19" s="9" t="s">
        <v>5</v>
      </c>
      <c r="C19" s="32">
        <f>(11/12)*IS!C8+(1/12)*IS!B8</f>
        <v>11549.166666666666</v>
      </c>
      <c r="D19" s="32">
        <f>(11/12)*IS!D8+(1/12)*IS!C8</f>
        <v>10984.5</v>
      </c>
      <c r="E19" s="32">
        <f>(11/12)*IS!E8+(1/12)*IS!D8</f>
        <v>16195.25</v>
      </c>
      <c r="F19" s="32">
        <f>(11/12)*IS!F8+(1/12)*IS!E8</f>
        <v>26060.749999999996</v>
      </c>
      <c r="G19" s="32">
        <f>(11/12)*IS!G8+(1/12)*IS!F8</f>
        <v>26968.999999999996</v>
      </c>
      <c r="H19" s="32">
        <f>(11/12)*IS!H8+(1/12)*IS!G8</f>
        <v>58093</v>
      </c>
      <c r="I19" s="32">
        <f>(11/12)*IS!I8+(1/12)*IS!H8</f>
        <v>124699.08333333333</v>
      </c>
      <c r="J19" s="32">
        <f>(11/12)*IS!J8+(1/12)*IS!I8</f>
        <v>208817.91666666666</v>
      </c>
      <c r="K19" s="24">
        <v>395011</v>
      </c>
      <c r="L19" s="24">
        <v>657635</v>
      </c>
      <c r="M19" s="30">
        <v>874107</v>
      </c>
      <c r="N19" s="27">
        <v>822323</v>
      </c>
      <c r="O19" s="27">
        <v>918183</v>
      </c>
      <c r="P19" s="15"/>
      <c r="Q19" s="15"/>
      <c r="R19" s="6"/>
      <c r="S19" s="6"/>
      <c r="T19" s="7"/>
      <c r="U19" s="7"/>
      <c r="V19" s="7"/>
      <c r="W19" s="7"/>
    </row>
    <row r="20" spans="1:23" hidden="1" x14ac:dyDescent="0.25">
      <c r="B20" s="18" t="s">
        <v>6</v>
      </c>
      <c r="C20" s="19" t="s">
        <v>110</v>
      </c>
      <c r="D20" s="19">
        <f>D19/C19-1</f>
        <v>-4.8892416480265433E-2</v>
      </c>
      <c r="E20" s="19">
        <f t="shared" ref="E20:J20" si="0">E19/D19-1</f>
        <v>0.47437298010833451</v>
      </c>
      <c r="F20" s="19">
        <f t="shared" si="0"/>
        <v>0.60916009323721432</v>
      </c>
      <c r="G20" s="19">
        <f t="shared" si="0"/>
        <v>3.4851260995942157E-2</v>
      </c>
      <c r="H20" s="19">
        <f t="shared" si="0"/>
        <v>1.1540657792280027</v>
      </c>
      <c r="I20" s="19">
        <f t="shared" si="0"/>
        <v>1.1465423258109122</v>
      </c>
      <c r="J20" s="19">
        <f t="shared" si="0"/>
        <v>0.67457459256917818</v>
      </c>
      <c r="K20" s="19">
        <f t="shared" ref="K20" si="1">K19/J19-1</f>
        <v>0.89165281555102838</v>
      </c>
      <c r="L20" s="19">
        <f t="shared" ref="L20" si="2">L19/K19-1</f>
        <v>0.66485237119978935</v>
      </c>
      <c r="M20" s="19">
        <f t="shared" ref="M20" si="3">M19/L19-1</f>
        <v>0.32916739528765948</v>
      </c>
      <c r="N20" s="19">
        <f t="shared" ref="N20" si="4">N19/M19-1</f>
        <v>-5.9242175157045995E-2</v>
      </c>
      <c r="O20" s="19">
        <f t="shared" ref="O20" si="5">O19/N19-1</f>
        <v>0.11657219851566847</v>
      </c>
      <c r="P20" s="15"/>
      <c r="Q20" s="15"/>
      <c r="R20" s="6"/>
      <c r="S20" s="6"/>
      <c r="T20" s="7"/>
      <c r="U20" s="7"/>
      <c r="V20" s="7"/>
      <c r="W20" s="7"/>
    </row>
    <row r="21" spans="1:23" hidden="1" x14ac:dyDescent="0.25">
      <c r="B21" s="6"/>
      <c r="C21" s="15"/>
      <c r="D21" s="17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6"/>
      <c r="S21" s="6"/>
      <c r="T21" s="7"/>
      <c r="U21" s="7"/>
      <c r="V21" s="7"/>
      <c r="W21" s="7"/>
    </row>
    <row r="22" spans="1:23" hidden="1" x14ac:dyDescent="0.25">
      <c r="B22" s="9" t="s">
        <v>7</v>
      </c>
      <c r="C22" s="32">
        <f>(11/12)*IS!C17+(1/12)*IS!B17</f>
        <v>3754.5</v>
      </c>
      <c r="D22" s="32">
        <f>(11/12)*IS!D17+(1/12)*IS!C17</f>
        <v>2925.833333333333</v>
      </c>
      <c r="E22" s="32">
        <f>(11/12)*IS!E17+(1/12)*IS!D17</f>
        <v>4391.5</v>
      </c>
      <c r="F22" s="32">
        <f>(11/12)*IS!F17+(1/12)*IS!E17</f>
        <v>9581.9166666666661</v>
      </c>
      <c r="G22" s="32">
        <f>(11/12)*IS!G17+(1/12)*IS!F17</f>
        <v>4708.75</v>
      </c>
      <c r="H22" s="32">
        <f>(11/12)*IS!H17+(1/12)*IS!G17</f>
        <v>30576.333333333332</v>
      </c>
      <c r="I22" s="32">
        <f>(11/12)*IS!I17+(1/12)*IS!H17</f>
        <v>77412.916666666672</v>
      </c>
      <c r="J22" s="32">
        <f>(11/12)*IS!J17+(1/12)*IS!I17</f>
        <v>126309.16666666666</v>
      </c>
      <c r="K22" s="24">
        <v>257264</v>
      </c>
      <c r="L22" s="26">
        <v>426153</v>
      </c>
      <c r="M22" s="31">
        <v>580666</v>
      </c>
      <c r="N22" s="29">
        <v>565959</v>
      </c>
      <c r="O22" s="28">
        <v>605277</v>
      </c>
      <c r="P22" s="15"/>
      <c r="Q22" s="15"/>
      <c r="R22" s="6"/>
      <c r="S22" s="6"/>
      <c r="T22" s="7"/>
      <c r="U22" s="7"/>
      <c r="V22" s="7"/>
      <c r="W22" s="7"/>
    </row>
    <row r="23" spans="1:23" hidden="1" x14ac:dyDescent="0.25">
      <c r="B23" s="18" t="s">
        <v>8</v>
      </c>
      <c r="C23" s="19">
        <f>C22/C19</f>
        <v>0.32508839021574432</v>
      </c>
      <c r="D23" s="19">
        <f t="shared" ref="D23:J23" si="6">D22/D19</f>
        <v>0.26636017418483621</v>
      </c>
      <c r="E23" s="19">
        <f t="shared" si="6"/>
        <v>0.27115975363146599</v>
      </c>
      <c r="F23" s="19">
        <f t="shared" si="6"/>
        <v>0.36767616690489213</v>
      </c>
      <c r="G23" s="19">
        <f t="shared" si="6"/>
        <v>0.17459861322258893</v>
      </c>
      <c r="H23" s="19">
        <f t="shared" si="6"/>
        <v>0.52633421123600665</v>
      </c>
      <c r="I23" s="19">
        <f t="shared" si="6"/>
        <v>0.62079780057191014</v>
      </c>
      <c r="J23" s="19">
        <f t="shared" si="6"/>
        <v>0.60487705596781882</v>
      </c>
      <c r="K23" s="19">
        <f t="shared" ref="K23" si="7">K22/K19</f>
        <v>0.65128312882426054</v>
      </c>
      <c r="L23" s="19">
        <f t="shared" ref="L23" si="8">L22/L19</f>
        <v>0.64800839371383823</v>
      </c>
      <c r="M23" s="19">
        <f t="shared" ref="M23" si="9">M22/M19</f>
        <v>0.66429624748457572</v>
      </c>
      <c r="N23" s="19">
        <f t="shared" ref="N23" si="10">N22/N19</f>
        <v>0.68824415710128506</v>
      </c>
      <c r="O23" s="19">
        <f t="shared" ref="O23" si="11">O22/O19</f>
        <v>0.65921172576708564</v>
      </c>
      <c r="P23" s="15"/>
      <c r="Q23" s="15"/>
      <c r="R23" s="6"/>
      <c r="S23" s="6"/>
      <c r="T23" s="7"/>
      <c r="U23" s="7"/>
      <c r="V23" s="7"/>
      <c r="W23" s="7"/>
    </row>
    <row r="24" spans="1:23" hidden="1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7"/>
      <c r="S24" s="7"/>
      <c r="T24" s="7"/>
      <c r="U24" s="7"/>
      <c r="V24" s="7"/>
      <c r="W24" s="7"/>
    </row>
    <row r="25" spans="1:23" hidden="1" x14ac:dyDescent="0.25">
      <c r="A25" t="s">
        <v>4</v>
      </c>
      <c r="B25" s="5" t="s">
        <v>2</v>
      </c>
      <c r="C25" s="5">
        <f>C18</f>
        <v>2018</v>
      </c>
      <c r="D25" s="5">
        <f t="shared" ref="D25:Q25" si="12">D18</f>
        <v>2019</v>
      </c>
      <c r="E25" s="5">
        <f t="shared" si="12"/>
        <v>2020</v>
      </c>
      <c r="F25" s="5">
        <f t="shared" si="12"/>
        <v>2021</v>
      </c>
      <c r="G25" s="5">
        <f t="shared" si="12"/>
        <v>2022</v>
      </c>
      <c r="H25" s="5">
        <f t="shared" si="12"/>
        <v>2023</v>
      </c>
      <c r="I25" s="5">
        <f t="shared" si="12"/>
        <v>2024</v>
      </c>
      <c r="J25" s="5">
        <f t="shared" si="12"/>
        <v>2025</v>
      </c>
      <c r="K25" s="34">
        <f>K18</f>
        <v>2026</v>
      </c>
      <c r="L25" s="34">
        <f t="shared" ref="L25:O25" si="13">L18</f>
        <v>2027</v>
      </c>
      <c r="M25" s="34">
        <f t="shared" si="13"/>
        <v>2028</v>
      </c>
      <c r="N25" s="34">
        <f t="shared" si="13"/>
        <v>2029</v>
      </c>
      <c r="O25" s="34">
        <f t="shared" si="13"/>
        <v>2030</v>
      </c>
      <c r="P25" s="6">
        <f t="shared" si="12"/>
        <v>0</v>
      </c>
      <c r="Q25" s="6">
        <f t="shared" si="12"/>
        <v>0</v>
      </c>
      <c r="R25" s="7"/>
      <c r="S25" s="7"/>
      <c r="T25" s="7"/>
      <c r="U25" s="7"/>
      <c r="V25" s="7"/>
      <c r="W25" s="7"/>
    </row>
    <row r="26" spans="1:23" hidden="1" x14ac:dyDescent="0.25">
      <c r="B26" s="10" t="s">
        <v>54</v>
      </c>
      <c r="C26" s="23">
        <f>(11/12)*CFS!C9+(1/12)*CFS!B9</f>
        <v>256.75</v>
      </c>
      <c r="D26" s="23">
        <f>(11/12)*CFS!D9+(1/12)*CFS!C9</f>
        <v>371.08333333333331</v>
      </c>
      <c r="E26" s="23">
        <f>(11/12)*CFS!E9+(1/12)*CFS!D9</f>
        <v>1038.25</v>
      </c>
      <c r="F26" s="23">
        <f>(11/12)*CFS!F9+(1/12)*CFS!E9</f>
        <v>1167.6666666666665</v>
      </c>
      <c r="G26" s="23">
        <f>(11/12)*CFS!G9+(1/12)*CFS!F9</f>
        <v>1513.1666666666665</v>
      </c>
      <c r="H26" s="23">
        <f>(11/12)*CFS!H9+(1/12)*CFS!G9</f>
        <v>1511</v>
      </c>
      <c r="I26" s="23">
        <f>(11/12)*CFS!I9+(1/12)*CFS!H9</f>
        <v>1834.3333333333333</v>
      </c>
      <c r="J26" s="23">
        <f>(11/12)*CFS!J9+(1/12)*CFS!I9</f>
        <v>2761.4166666666665</v>
      </c>
      <c r="K26" s="23"/>
      <c r="L26" s="23"/>
      <c r="M26" s="23"/>
      <c r="N26" s="23"/>
      <c r="O26" s="23"/>
      <c r="P26" s="25"/>
      <c r="Q26" s="25"/>
      <c r="R26" s="7"/>
      <c r="S26" s="7"/>
      <c r="T26" s="7"/>
      <c r="U26" s="7"/>
      <c r="V26" s="7"/>
    </row>
    <row r="27" spans="1:23" hidden="1" x14ac:dyDescent="0.25">
      <c r="B27" s="20" t="s">
        <v>8</v>
      </c>
      <c r="C27" s="22">
        <f>C26/C19</f>
        <v>2.2231041200663829E-2</v>
      </c>
      <c r="D27" s="22">
        <f t="shared" ref="D27:J27" si="14">D26/D19</f>
        <v>3.3782451029480937E-2</v>
      </c>
      <c r="E27" s="22">
        <f t="shared" si="14"/>
        <v>6.4108303360553245E-2</v>
      </c>
      <c r="F27" s="22">
        <f t="shared" si="14"/>
        <v>4.4805566480882811E-2</v>
      </c>
      <c r="G27" s="22">
        <f t="shared" si="14"/>
        <v>5.6107629747735054E-2</v>
      </c>
      <c r="H27" s="22">
        <f t="shared" si="14"/>
        <v>2.6010018418742363E-2</v>
      </c>
      <c r="I27" s="22">
        <f t="shared" si="14"/>
        <v>1.4710078729528217E-2</v>
      </c>
      <c r="J27" s="22">
        <f t="shared" si="14"/>
        <v>1.3224040880911002E-2</v>
      </c>
      <c r="P27" s="7"/>
      <c r="Q27" s="7"/>
      <c r="R27" s="7"/>
      <c r="S27" s="7"/>
      <c r="T27" s="7"/>
      <c r="U27" s="7"/>
      <c r="V27" s="7"/>
    </row>
    <row r="28" spans="1:23" hidden="1" x14ac:dyDescent="0.25">
      <c r="P28" s="7"/>
      <c r="Q28" s="7"/>
      <c r="R28" s="7"/>
      <c r="S28" s="7"/>
      <c r="T28" s="7"/>
      <c r="U28" s="7"/>
      <c r="V28" s="7"/>
    </row>
    <row r="29" spans="1:23" hidden="1" x14ac:dyDescent="0.25">
      <c r="B29" s="10" t="s">
        <v>55</v>
      </c>
      <c r="C29" s="32">
        <f>-((11/12)*CFS!C31+(1/12)*CFS!B31)</f>
        <v>599.41666666666663</v>
      </c>
      <c r="D29" s="32">
        <f>-((11/12)*CFS!D31+(1/12)*CFS!C31)</f>
        <v>498.25</v>
      </c>
      <c r="E29" s="32">
        <f>-((11/12)*CFS!E31+(1/12)*CFS!D31)</f>
        <v>1074.75</v>
      </c>
      <c r="F29" s="32">
        <f>-((11/12)*CFS!F31+(1/12)*CFS!E31)</f>
        <v>988.66666666666663</v>
      </c>
      <c r="G29" s="32">
        <f>-((11/12)*CFS!G31+(1/12)*CFS!F31)</f>
        <v>1761.5833333333333</v>
      </c>
      <c r="H29" s="32">
        <f>-((11/12)*CFS!H31+(1/12)*CFS!G31)</f>
        <v>1132.6666666666665</v>
      </c>
      <c r="I29" s="32">
        <f>-((11/12)*CFS!I31+(1/12)*CFS!H31)</f>
        <v>3055.4166666666665</v>
      </c>
      <c r="J29" s="32">
        <f>-((11/12)*CFS!J31+(1/12)*CFS!I31)</f>
        <v>5808.166666666667</v>
      </c>
      <c r="P29" s="7"/>
      <c r="Q29" s="7"/>
      <c r="R29" s="7"/>
      <c r="S29" s="7"/>
      <c r="T29" s="7"/>
      <c r="U29" s="7"/>
      <c r="V29" s="7"/>
    </row>
    <row r="30" spans="1:23" hidden="1" x14ac:dyDescent="0.25">
      <c r="B30" s="20" t="s">
        <v>8</v>
      </c>
      <c r="C30" s="22">
        <f>C29/C19</f>
        <v>5.1901291579479036E-2</v>
      </c>
      <c r="D30" s="22">
        <f>D29/D19</f>
        <v>4.5359370021393786E-2</v>
      </c>
      <c r="E30" s="22">
        <f>E29/E19</f>
        <v>6.6362050601256536E-2</v>
      </c>
      <c r="F30" s="22">
        <f>F29/F19</f>
        <v>3.7936999766571063E-2</v>
      </c>
      <c r="G30" s="22">
        <f>G29/G19</f>
        <v>6.5318822845983671E-2</v>
      </c>
      <c r="H30" s="22">
        <f>H29/H19</f>
        <v>1.9497472443610529E-2</v>
      </c>
      <c r="I30" s="22">
        <f>I29/I19</f>
        <v>2.4502318581598768E-2</v>
      </c>
      <c r="J30" s="22">
        <f>J29/J19</f>
        <v>2.7814503464940552E-2</v>
      </c>
      <c r="P30" s="7"/>
      <c r="Q30" s="7"/>
      <c r="R30" s="7"/>
      <c r="S30" s="7"/>
      <c r="T30" s="7"/>
      <c r="U30" s="7"/>
      <c r="V30" s="7"/>
    </row>
    <row r="31" spans="1:23" hidden="1" x14ac:dyDescent="0.25">
      <c r="P31" s="7"/>
      <c r="Q31" s="7"/>
      <c r="R31" s="7"/>
      <c r="S31" s="7"/>
      <c r="T31" s="7"/>
      <c r="U31" s="7"/>
      <c r="V31" s="7"/>
    </row>
    <row r="32" spans="1:23" hidden="1" x14ac:dyDescent="0.25">
      <c r="B32" s="10" t="s">
        <v>107</v>
      </c>
      <c r="C32" s="16">
        <f>SUM(CFS!B17:B21)</f>
        <v>-296</v>
      </c>
      <c r="D32" s="16">
        <f>SUM(CFS!C17:C21)</f>
        <v>-859</v>
      </c>
      <c r="E32" s="16">
        <f>SUM(CFS!D17:D21)</f>
        <v>689</v>
      </c>
      <c r="F32" s="16">
        <f>SUM(CFS!E17:E21)</f>
        <v>-866</v>
      </c>
      <c r="G32" s="16">
        <f>SUM(CFS!F17:F21)</f>
        <v>-3555</v>
      </c>
      <c r="H32" s="16">
        <f>SUM(CFS!G17:G21)</f>
        <v>-2459</v>
      </c>
      <c r="I32" s="16">
        <f>SUM(CFS!H17:H21)</f>
        <v>-4236</v>
      </c>
      <c r="J32" s="16">
        <f>SUM(CFS!I17:I21)</f>
        <v>-10604</v>
      </c>
      <c r="K32" s="16">
        <f>SUM(CFS!J17:J21)</f>
        <v>-17793</v>
      </c>
      <c r="P32" s="7"/>
      <c r="Q32" s="7"/>
      <c r="R32" s="7"/>
      <c r="S32" s="7"/>
      <c r="T32" s="7"/>
      <c r="U32" s="7"/>
      <c r="V32" s="7"/>
    </row>
    <row r="33" spans="1:23" hidden="1" x14ac:dyDescent="0.25">
      <c r="B33" s="10" t="s">
        <v>56</v>
      </c>
      <c r="C33" s="33">
        <f>-((11/12*D32)+(1/12*C32))</f>
        <v>812.08333333333326</v>
      </c>
      <c r="D33" s="33">
        <f t="shared" ref="D33:J33" si="15">-((11/12*E32)+(1/12*D32))</f>
        <v>-559.99999999999989</v>
      </c>
      <c r="E33" s="33">
        <f t="shared" si="15"/>
        <v>736.41666666666663</v>
      </c>
      <c r="F33" s="33">
        <f t="shared" si="15"/>
        <v>3330.9166666666665</v>
      </c>
      <c r="G33" s="33">
        <f t="shared" si="15"/>
        <v>2550.333333333333</v>
      </c>
      <c r="H33" s="33">
        <f t="shared" si="15"/>
        <v>4087.9166666666665</v>
      </c>
      <c r="I33" s="33">
        <f t="shared" si="15"/>
        <v>10073.333333333332</v>
      </c>
      <c r="J33" s="33"/>
      <c r="P33" s="7"/>
      <c r="Q33" s="7"/>
      <c r="R33" s="7"/>
      <c r="S33" s="7"/>
      <c r="T33" s="7"/>
      <c r="U33" s="7"/>
      <c r="V33" s="7"/>
    </row>
    <row r="34" spans="1:23" hidden="1" x14ac:dyDescent="0.25">
      <c r="B34" s="10" t="s">
        <v>8</v>
      </c>
      <c r="C34" s="1">
        <f>C33/C19</f>
        <v>7.0315318565553064E-2</v>
      </c>
      <c r="D34" s="1">
        <f t="shared" ref="D34:J34" si="16">D33/D19</f>
        <v>-5.0980927670808855E-2</v>
      </c>
      <c r="E34" s="1">
        <f t="shared" si="16"/>
        <v>4.5471151520764828E-2</v>
      </c>
      <c r="F34" s="1">
        <f t="shared" si="16"/>
        <v>0.12781353823917835</v>
      </c>
      <c r="G34" s="1">
        <f t="shared" si="16"/>
        <v>9.456536517235839E-2</v>
      </c>
      <c r="H34" s="1">
        <f t="shared" si="16"/>
        <v>7.0368489605747098E-2</v>
      </c>
      <c r="I34" s="1">
        <f t="shared" si="16"/>
        <v>8.0781133782726278E-2</v>
      </c>
      <c r="J34" s="1"/>
      <c r="P34" s="7"/>
      <c r="Q34" s="7"/>
      <c r="R34" s="7"/>
      <c r="S34" s="7"/>
      <c r="T34" s="7"/>
      <c r="U34" s="7"/>
      <c r="V34" s="7"/>
    </row>
    <row r="35" spans="1:23" hidden="1" x14ac:dyDescent="0.25">
      <c r="B35" s="10" t="s">
        <v>57</v>
      </c>
      <c r="D35" s="1">
        <f>D33/(D19-C19)</f>
        <v>0.99173553719008356</v>
      </c>
      <c r="E35" s="1">
        <f>E33/(E19-D19)</f>
        <v>0.1413264245390139</v>
      </c>
      <c r="F35" s="1">
        <f t="shared" ref="F35:J35" si="17">F33/(F19-E19)</f>
        <v>0.33763282820603796</v>
      </c>
      <c r="G35" s="1">
        <f t="shared" si="17"/>
        <v>2.8079640333975591</v>
      </c>
      <c r="H35" s="1">
        <f t="shared" si="17"/>
        <v>0.13134290793813988</v>
      </c>
      <c r="I35" s="1">
        <f t="shared" si="17"/>
        <v>0.15123743702089273</v>
      </c>
      <c r="J35" s="1"/>
      <c r="P35" s="7"/>
      <c r="Q35" s="7"/>
      <c r="R35" s="7"/>
      <c r="S35" s="7"/>
      <c r="T35" s="7"/>
      <c r="U35" s="7"/>
      <c r="V35" s="7"/>
    </row>
    <row r="36" spans="1:23" hidden="1" x14ac:dyDescent="0.25">
      <c r="P36" s="7"/>
      <c r="Q36" s="7"/>
      <c r="R36" s="7"/>
      <c r="S36" s="7"/>
      <c r="T36" s="7"/>
      <c r="U36" s="7"/>
      <c r="V36" s="7"/>
    </row>
    <row r="37" spans="1:23" hidden="1" x14ac:dyDescent="0.25">
      <c r="P37" s="7"/>
      <c r="Q37" s="7"/>
      <c r="R37" s="7"/>
      <c r="S37" s="7"/>
      <c r="T37" s="7"/>
      <c r="U37" s="7"/>
      <c r="V37" s="7"/>
    </row>
    <row r="38" spans="1:23" x14ac:dyDescent="0.25">
      <c r="A38" t="s">
        <v>4</v>
      </c>
      <c r="B38" s="5" t="s">
        <v>3</v>
      </c>
      <c r="C38" s="71">
        <f>C18</f>
        <v>2018</v>
      </c>
      <c r="D38" s="71">
        <f t="shared" ref="D38:T38" si="18">D18</f>
        <v>2019</v>
      </c>
      <c r="E38" s="71">
        <f t="shared" si="18"/>
        <v>2020</v>
      </c>
      <c r="F38" s="71">
        <f t="shared" si="18"/>
        <v>2021</v>
      </c>
      <c r="G38" s="71">
        <f t="shared" si="18"/>
        <v>2022</v>
      </c>
      <c r="H38" s="71">
        <f t="shared" si="18"/>
        <v>2023</v>
      </c>
      <c r="I38" s="71">
        <f t="shared" si="18"/>
        <v>2024</v>
      </c>
      <c r="J38" s="71">
        <f t="shared" si="18"/>
        <v>2025</v>
      </c>
      <c r="K38" s="72">
        <f>K18</f>
        <v>2026</v>
      </c>
      <c r="L38" s="72">
        <f t="shared" ref="L38:O38" si="19">L18</f>
        <v>2027</v>
      </c>
      <c r="M38" s="72">
        <f t="shared" si="19"/>
        <v>2028</v>
      </c>
      <c r="N38" s="72">
        <f t="shared" si="19"/>
        <v>2029</v>
      </c>
      <c r="O38" s="72">
        <f t="shared" si="19"/>
        <v>2030</v>
      </c>
      <c r="P38" s="6">
        <f t="shared" si="18"/>
        <v>0</v>
      </c>
      <c r="Q38" s="6">
        <f t="shared" si="18"/>
        <v>0</v>
      </c>
      <c r="R38" s="6">
        <f t="shared" si="18"/>
        <v>0</v>
      </c>
      <c r="S38" s="6">
        <f t="shared" si="18"/>
        <v>0</v>
      </c>
      <c r="T38" s="6">
        <f t="shared" si="18"/>
        <v>0</v>
      </c>
      <c r="U38" s="6">
        <v>2031</v>
      </c>
      <c r="V38" s="6">
        <v>2032</v>
      </c>
      <c r="W38" s="8"/>
    </row>
    <row r="39" spans="1:23" x14ac:dyDescent="0.25">
      <c r="B39" s="9" t="s">
        <v>5</v>
      </c>
      <c r="C39" s="73">
        <f>C19</f>
        <v>11549.166666666666</v>
      </c>
      <c r="D39" s="73">
        <f t="shared" ref="D39:J39" si="20">D19</f>
        <v>10984.5</v>
      </c>
      <c r="E39" s="73">
        <f t="shared" si="20"/>
        <v>16195.25</v>
      </c>
      <c r="F39" s="73">
        <f t="shared" si="20"/>
        <v>26060.749999999996</v>
      </c>
      <c r="G39" s="73">
        <f t="shared" si="20"/>
        <v>26968.999999999996</v>
      </c>
      <c r="H39" s="73">
        <f t="shared" si="20"/>
        <v>58093</v>
      </c>
      <c r="I39" s="73">
        <f t="shared" si="20"/>
        <v>124699.08333333333</v>
      </c>
      <c r="J39" s="73">
        <f t="shared" si="20"/>
        <v>208817.91666666666</v>
      </c>
      <c r="K39" s="74">
        <f ca="1">J39*(1+K40)</f>
        <v>395011</v>
      </c>
      <c r="L39" s="74">
        <f t="shared" ref="L39:O39" ca="1" si="21">K39*(1+L40)</f>
        <v>657635</v>
      </c>
      <c r="M39" s="74">
        <f t="shared" ca="1" si="21"/>
        <v>874107</v>
      </c>
      <c r="N39" s="74">
        <f t="shared" ca="1" si="21"/>
        <v>1083528.7871963549</v>
      </c>
      <c r="O39" s="74">
        <f t="shared" ca="1" si="21"/>
        <v>1246058.1052758081</v>
      </c>
    </row>
    <row r="40" spans="1:23" x14ac:dyDescent="0.25">
      <c r="B40" s="18" t="s">
        <v>6</v>
      </c>
      <c r="C40" s="42" t="str">
        <f>C20</f>
        <v>-</v>
      </c>
      <c r="D40" s="42">
        <f t="shared" ref="D40:J40" si="22">D20</f>
        <v>-4.8892416480265433E-2</v>
      </c>
      <c r="E40" s="42">
        <f t="shared" si="22"/>
        <v>0.47437298010833451</v>
      </c>
      <c r="F40" s="42">
        <f t="shared" si="22"/>
        <v>0.60916009323721432</v>
      </c>
      <c r="G40" s="42">
        <f t="shared" si="22"/>
        <v>3.4851260995942157E-2</v>
      </c>
      <c r="H40" s="42">
        <f t="shared" si="22"/>
        <v>1.1540657792280027</v>
      </c>
      <c r="I40" s="42">
        <f t="shared" si="22"/>
        <v>1.1465423258109122</v>
      </c>
      <c r="J40" s="42">
        <f t="shared" si="22"/>
        <v>0.67457459256917818</v>
      </c>
      <c r="K40" s="42">
        <f ca="1">OFFSET(K40,$C$10,0)</f>
        <v>0.89165281555102838</v>
      </c>
      <c r="L40" s="42">
        <f t="shared" ref="L40:O40" ca="1" si="23">OFFSET(L40,$C$10,0)</f>
        <v>0.66485237119978935</v>
      </c>
      <c r="M40" s="42">
        <f t="shared" ca="1" si="23"/>
        <v>0.32916739528765948</v>
      </c>
      <c r="N40" s="42">
        <f t="shared" ca="1" si="23"/>
        <v>0.23958369764382975</v>
      </c>
      <c r="O40" s="42">
        <f t="shared" ca="1" si="23"/>
        <v>0.15</v>
      </c>
    </row>
    <row r="41" spans="1:23" x14ac:dyDescent="0.25">
      <c r="B41" s="9" t="s">
        <v>111</v>
      </c>
      <c r="C41" s="42"/>
      <c r="D41" s="42"/>
      <c r="E41" s="42"/>
      <c r="F41" s="42"/>
      <c r="G41" s="42"/>
      <c r="H41" s="42"/>
      <c r="I41" s="42"/>
      <c r="J41" s="42"/>
      <c r="K41" s="75">
        <f>K42</f>
        <v>0.89165281555102838</v>
      </c>
      <c r="L41" s="75">
        <f>L42*$G$10</f>
        <v>0.53188189695983146</v>
      </c>
      <c r="M41" s="75">
        <f>M42*$G$10</f>
        <v>0.26333391623012758</v>
      </c>
      <c r="N41" s="75">
        <f>N42*$G$10</f>
        <v>0.19166695811506382</v>
      </c>
      <c r="O41" s="75">
        <f>G11</f>
        <v>0.08</v>
      </c>
    </row>
    <row r="42" spans="1:23" x14ac:dyDescent="0.25">
      <c r="B42" s="9" t="s">
        <v>112</v>
      </c>
      <c r="C42" s="42"/>
      <c r="D42" s="42"/>
      <c r="E42" s="42"/>
      <c r="F42" s="42"/>
      <c r="G42" s="42"/>
      <c r="H42" s="42"/>
      <c r="I42" s="42"/>
      <c r="J42" s="42"/>
      <c r="K42" s="75">
        <f>K20</f>
        <v>0.89165281555102838</v>
      </c>
      <c r="L42" s="75">
        <f>L20</f>
        <v>0.66485237119978935</v>
      </c>
      <c r="M42" s="75">
        <f>M20</f>
        <v>0.32916739528765948</v>
      </c>
      <c r="N42" s="75">
        <f>M42-($M$42-$O$42)/($O$38-$M$38)</f>
        <v>0.23958369764382975</v>
      </c>
      <c r="O42" s="76">
        <f>K11</f>
        <v>0.15</v>
      </c>
    </row>
    <row r="43" spans="1:23" x14ac:dyDescent="0.25">
      <c r="B43" s="9" t="s">
        <v>113</v>
      </c>
      <c r="C43" s="42"/>
      <c r="D43" s="42"/>
      <c r="E43" s="42"/>
      <c r="F43" s="42"/>
      <c r="G43" s="42"/>
      <c r="H43" s="42"/>
      <c r="I43" s="42"/>
      <c r="J43" s="42"/>
      <c r="K43" s="75">
        <f>K42</f>
        <v>0.89165281555102838</v>
      </c>
      <c r="L43" s="75">
        <f>L42*$O$10</f>
        <v>0.79782284543974724</v>
      </c>
      <c r="M43" s="75">
        <f>M42*$O$10</f>
        <v>0.39500087434519138</v>
      </c>
      <c r="N43" s="75">
        <f>N42*$O$10</f>
        <v>0.28750043717259571</v>
      </c>
      <c r="O43" s="75">
        <f>O11</f>
        <v>0.28000000000000003</v>
      </c>
    </row>
    <row r="44" spans="1:23" x14ac:dyDescent="0.25">
      <c r="C44" s="77"/>
      <c r="D44" s="77"/>
      <c r="E44" s="77"/>
      <c r="F44" s="77"/>
      <c r="G44" s="77"/>
      <c r="H44" s="77"/>
      <c r="I44" s="77"/>
      <c r="J44" s="77"/>
      <c r="K44" s="78"/>
      <c r="L44" s="78"/>
      <c r="M44" s="78"/>
      <c r="N44" s="78"/>
      <c r="O44" s="78"/>
    </row>
    <row r="45" spans="1:23" x14ac:dyDescent="0.25">
      <c r="B45" s="9" t="s">
        <v>7</v>
      </c>
      <c r="C45" s="73">
        <f>C22</f>
        <v>3754.5</v>
      </c>
      <c r="D45" s="73">
        <f t="shared" ref="D45:J45" si="24">D22</f>
        <v>2925.833333333333</v>
      </c>
      <c r="E45" s="73">
        <f t="shared" si="24"/>
        <v>4391.5</v>
      </c>
      <c r="F45" s="73">
        <f t="shared" si="24"/>
        <v>9581.9166666666661</v>
      </c>
      <c r="G45" s="73">
        <f t="shared" si="24"/>
        <v>4708.75</v>
      </c>
      <c r="H45" s="73">
        <f t="shared" si="24"/>
        <v>30576.333333333332</v>
      </c>
      <c r="I45" s="73">
        <f t="shared" si="24"/>
        <v>77412.916666666672</v>
      </c>
      <c r="J45" s="73">
        <f t="shared" si="24"/>
        <v>126309.16666666666</v>
      </c>
      <c r="K45" s="74">
        <f ca="1">K46*K39</f>
        <v>257263.99999999997</v>
      </c>
      <c r="L45" s="74">
        <f t="shared" ref="L45:O45" ca="1" si="25">L46*L39</f>
        <v>426153</v>
      </c>
      <c r="M45" s="74">
        <f t="shared" ca="1" si="25"/>
        <v>566428.67300402198</v>
      </c>
      <c r="N45" s="74">
        <f t="shared" ca="1" si="25"/>
        <v>702135.74893381319</v>
      </c>
      <c r="O45" s="74">
        <f t="shared" ca="1" si="25"/>
        <v>807456.11127388512</v>
      </c>
    </row>
    <row r="46" spans="1:23" x14ac:dyDescent="0.25">
      <c r="B46" s="18" t="s">
        <v>8</v>
      </c>
      <c r="C46" s="42">
        <f>C45/C19</f>
        <v>0.32508839021574432</v>
      </c>
      <c r="D46" s="42">
        <f t="shared" ref="D46:J46" si="26">D45/D19</f>
        <v>0.26636017418483621</v>
      </c>
      <c r="E46" s="42">
        <f t="shared" si="26"/>
        <v>0.27115975363146599</v>
      </c>
      <c r="F46" s="42">
        <f t="shared" si="26"/>
        <v>0.36767616690489213</v>
      </c>
      <c r="G46" s="42">
        <f t="shared" si="26"/>
        <v>0.17459861322258893</v>
      </c>
      <c r="H46" s="42">
        <f t="shared" si="26"/>
        <v>0.52633421123600665</v>
      </c>
      <c r="I46" s="42">
        <f t="shared" si="26"/>
        <v>0.62079780057191014</v>
      </c>
      <c r="J46" s="42">
        <f t="shared" si="26"/>
        <v>0.60487705596781882</v>
      </c>
      <c r="K46" s="42">
        <f ca="1">OFFSET(K46,$C$11,0)</f>
        <v>0.65128312882426054</v>
      </c>
      <c r="L46" s="42">
        <f t="shared" ref="L46:O46" ca="1" si="27">OFFSET(L46,$C$11,0)</f>
        <v>0.64800839371383823</v>
      </c>
      <c r="M46" s="42">
        <f t="shared" ca="1" si="27"/>
        <v>0.64800839371383823</v>
      </c>
      <c r="N46" s="42">
        <f t="shared" ca="1" si="27"/>
        <v>0.64800839371383823</v>
      </c>
      <c r="O46" s="42">
        <f t="shared" ca="1" si="27"/>
        <v>0.64800839371383823</v>
      </c>
    </row>
    <row r="47" spans="1:23" x14ac:dyDescent="0.25">
      <c r="B47" s="9" t="s">
        <v>111</v>
      </c>
      <c r="C47" s="42"/>
      <c r="D47" s="42"/>
      <c r="E47" s="42"/>
      <c r="F47" s="42"/>
      <c r="G47" s="42"/>
      <c r="H47" s="42"/>
      <c r="I47" s="42"/>
      <c r="J47" s="42"/>
      <c r="K47" s="75">
        <f>K48</f>
        <v>0.65128312882426054</v>
      </c>
      <c r="L47" s="75">
        <f>L48*$G$12</f>
        <v>0.58320755434245442</v>
      </c>
      <c r="M47" s="75">
        <f>L47</f>
        <v>0.58320755434245442</v>
      </c>
      <c r="N47" s="75">
        <f t="shared" ref="N47:O47" si="28">M47</f>
        <v>0.58320755434245442</v>
      </c>
      <c r="O47" s="75">
        <f t="shared" si="28"/>
        <v>0.58320755434245442</v>
      </c>
    </row>
    <row r="48" spans="1:23" x14ac:dyDescent="0.25">
      <c r="B48" s="9" t="s">
        <v>112</v>
      </c>
      <c r="C48" s="42"/>
      <c r="D48" s="42"/>
      <c r="E48" s="42"/>
      <c r="F48" s="42"/>
      <c r="G48" s="42"/>
      <c r="H48" s="42"/>
      <c r="I48" s="42"/>
      <c r="J48" s="42"/>
      <c r="K48" s="75">
        <f>K23</f>
        <v>0.65128312882426054</v>
      </c>
      <c r="L48" s="75">
        <f>L23</f>
        <v>0.64800839371383823</v>
      </c>
      <c r="M48" s="75">
        <f>L48</f>
        <v>0.64800839371383823</v>
      </c>
      <c r="N48" s="75">
        <f t="shared" ref="N48:O48" si="29">M48</f>
        <v>0.64800839371383823</v>
      </c>
      <c r="O48" s="75">
        <f t="shared" si="29"/>
        <v>0.64800839371383823</v>
      </c>
    </row>
    <row r="49" spans="2:15" x14ac:dyDescent="0.25">
      <c r="B49" s="9" t="s">
        <v>113</v>
      </c>
      <c r="C49" s="42"/>
      <c r="D49" s="42"/>
      <c r="E49" s="42"/>
      <c r="F49" s="42"/>
      <c r="G49" s="42"/>
      <c r="H49" s="42"/>
      <c r="I49" s="42"/>
      <c r="J49" s="42"/>
      <c r="K49" s="75">
        <f>K48</f>
        <v>0.65128312882426054</v>
      </c>
      <c r="L49" s="75">
        <f>L48*$O$12</f>
        <v>0.68040881339953019</v>
      </c>
      <c r="M49" s="75">
        <f>L49</f>
        <v>0.68040881339953019</v>
      </c>
      <c r="N49" s="75">
        <f t="shared" ref="N49:O49" si="30">M49</f>
        <v>0.68040881339953019</v>
      </c>
      <c r="O49" s="75">
        <f t="shared" si="30"/>
        <v>0.68040881339953019</v>
      </c>
    </row>
    <row r="50" spans="2:15" x14ac:dyDescent="0.25"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</row>
    <row r="51" spans="2:15" x14ac:dyDescent="0.25">
      <c r="B51" t="s">
        <v>15</v>
      </c>
      <c r="C51" s="77"/>
      <c r="D51" s="77"/>
      <c r="E51" s="77"/>
      <c r="F51" s="77"/>
      <c r="G51" s="77"/>
      <c r="H51" s="77"/>
      <c r="I51" s="77"/>
      <c r="J51" s="77"/>
      <c r="K51" s="41">
        <f ca="1">K52*K45</f>
        <v>39618.655999999995</v>
      </c>
      <c r="L51" s="41">
        <f t="shared" ref="L51:O51" ca="1" si="31">L52*L45</f>
        <v>67332.173999999999</v>
      </c>
      <c r="M51" s="41">
        <f t="shared" ca="1" si="31"/>
        <v>91761.445026651563</v>
      </c>
      <c r="N51" s="41">
        <f t="shared" ca="1" si="31"/>
        <v>116554.53432301299</v>
      </c>
      <c r="O51" s="41">
        <f t="shared" ca="1" si="31"/>
        <v>137267.53891656047</v>
      </c>
    </row>
    <row r="52" spans="2:15" x14ac:dyDescent="0.25">
      <c r="B52" s="21" t="s">
        <v>108</v>
      </c>
      <c r="C52" s="77"/>
      <c r="D52" s="77"/>
      <c r="E52" s="77"/>
      <c r="F52" s="77"/>
      <c r="G52" s="77"/>
      <c r="H52" s="77"/>
      <c r="I52" s="77"/>
      <c r="J52" s="77"/>
      <c r="K52" s="75">
        <v>0.154</v>
      </c>
      <c r="L52" s="76">
        <f>K52+($O$52-$K$52)/($O$38-$K$38)</f>
        <v>0.158</v>
      </c>
      <c r="M52" s="76">
        <f>L52+($O$52-$K$52)/($O$38-$K$38)</f>
        <v>0.16200000000000001</v>
      </c>
      <c r="N52" s="76">
        <f>M52+($O$52-$K$52)/($O$38-$K$38)</f>
        <v>0.16600000000000001</v>
      </c>
      <c r="O52" s="75">
        <v>0.17</v>
      </c>
    </row>
    <row r="53" spans="2:15" x14ac:dyDescent="0.25"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</row>
    <row r="54" spans="2:15" x14ac:dyDescent="0.25">
      <c r="B54" s="40" t="s">
        <v>109</v>
      </c>
      <c r="C54" s="79"/>
      <c r="D54" s="79"/>
      <c r="E54" s="79"/>
      <c r="F54" s="79"/>
      <c r="G54" s="79"/>
      <c r="H54" s="79"/>
      <c r="I54" s="79"/>
      <c r="J54" s="79"/>
      <c r="K54" s="80">
        <f ca="1">K45-K51</f>
        <v>217645.34399999998</v>
      </c>
      <c r="L54" s="80">
        <f t="shared" ref="L54:O54" ca="1" si="32">L45-L51</f>
        <v>358820.826</v>
      </c>
      <c r="M54" s="80">
        <f t="shared" ca="1" si="32"/>
        <v>474667.22797737044</v>
      </c>
      <c r="N54" s="80">
        <f t="shared" ca="1" si="32"/>
        <v>585581.21461080015</v>
      </c>
      <c r="O54" s="80">
        <f t="shared" ca="1" si="32"/>
        <v>670188.57235732465</v>
      </c>
    </row>
    <row r="55" spans="2:15" x14ac:dyDescent="0.25"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</row>
    <row r="56" spans="2:15" x14ac:dyDescent="0.25">
      <c r="B56" s="10" t="s">
        <v>54</v>
      </c>
      <c r="C56" s="73">
        <f>C26</f>
        <v>256.75</v>
      </c>
      <c r="D56" s="90">
        <f t="shared" ref="D56:J56" si="33">D26</f>
        <v>371.08333333333331</v>
      </c>
      <c r="E56" s="90">
        <f t="shared" si="33"/>
        <v>1038.25</v>
      </c>
      <c r="F56" s="90">
        <f t="shared" si="33"/>
        <v>1167.6666666666665</v>
      </c>
      <c r="G56" s="90">
        <f t="shared" si="33"/>
        <v>1513.1666666666665</v>
      </c>
      <c r="H56" s="90">
        <f t="shared" si="33"/>
        <v>1511</v>
      </c>
      <c r="I56" s="90">
        <f t="shared" si="33"/>
        <v>1834.3333333333333</v>
      </c>
      <c r="J56" s="90">
        <f t="shared" si="33"/>
        <v>2761.4166666666665</v>
      </c>
      <c r="K56" s="91">
        <f ca="1">K57*K$39</f>
        <v>7102.8426356816817</v>
      </c>
      <c r="L56" s="91">
        <f t="shared" ref="L56" ca="1" si="34">L57*L$39</f>
        <v>11825.18440427361</v>
      </c>
      <c r="M56" s="91">
        <f t="shared" ref="M56" ca="1" si="35">M57*M$39</f>
        <v>15717.649553424608</v>
      </c>
      <c r="N56" s="91">
        <f t="shared" ref="N56" ca="1" si="36">N57*N$39</f>
        <v>19483.342151703961</v>
      </c>
      <c r="O56" s="91">
        <f t="shared" ref="O56" ca="1" si="37">O57*O$39</f>
        <v>22405.843474459554</v>
      </c>
    </row>
    <row r="57" spans="2:15" x14ac:dyDescent="0.25">
      <c r="B57" s="20" t="s">
        <v>8</v>
      </c>
      <c r="C57" s="42">
        <f>C56/C39</f>
        <v>2.2231041200663829E-2</v>
      </c>
      <c r="D57" s="42">
        <f t="shared" ref="D57:J57" si="38">D56/D39</f>
        <v>3.3782451029480937E-2</v>
      </c>
      <c r="E57" s="42">
        <f t="shared" si="38"/>
        <v>6.4108303360553245E-2</v>
      </c>
      <c r="F57" s="42">
        <f t="shared" si="38"/>
        <v>4.4805566480882811E-2</v>
      </c>
      <c r="G57" s="42">
        <f t="shared" si="38"/>
        <v>5.6107629747735054E-2</v>
      </c>
      <c r="H57" s="42">
        <f t="shared" si="38"/>
        <v>2.6010018418742363E-2</v>
      </c>
      <c r="I57" s="42">
        <f t="shared" si="38"/>
        <v>1.4710078729528217E-2</v>
      </c>
      <c r="J57" s="42">
        <f t="shared" si="38"/>
        <v>1.3224040880911002E-2</v>
      </c>
      <c r="K57" s="75">
        <f>AVERAGE(H57:J57)</f>
        <v>1.7981379343060527E-2</v>
      </c>
      <c r="L57" s="75">
        <f>K57</f>
        <v>1.7981379343060527E-2</v>
      </c>
      <c r="M57" s="75">
        <f t="shared" ref="M57:O57" si="39">L57</f>
        <v>1.7981379343060527E-2</v>
      </c>
      <c r="N57" s="75">
        <f t="shared" si="39"/>
        <v>1.7981379343060527E-2</v>
      </c>
      <c r="O57" s="75">
        <f t="shared" si="39"/>
        <v>1.7981379343060527E-2</v>
      </c>
    </row>
    <row r="58" spans="2:15" x14ac:dyDescent="0.25"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</row>
    <row r="59" spans="2:15" x14ac:dyDescent="0.25">
      <c r="B59" s="10" t="s">
        <v>55</v>
      </c>
      <c r="C59" s="73">
        <f>C29</f>
        <v>599.41666666666663</v>
      </c>
      <c r="D59" s="73">
        <f t="shared" ref="D59:J59" si="40">D29</f>
        <v>498.25</v>
      </c>
      <c r="E59" s="73">
        <f t="shared" si="40"/>
        <v>1074.75</v>
      </c>
      <c r="F59" s="73">
        <f t="shared" si="40"/>
        <v>988.66666666666663</v>
      </c>
      <c r="G59" s="73">
        <f t="shared" si="40"/>
        <v>1761.5833333333333</v>
      </c>
      <c r="H59" s="73">
        <f t="shared" si="40"/>
        <v>1132.6666666666665</v>
      </c>
      <c r="I59" s="73">
        <f t="shared" si="40"/>
        <v>3055.4166666666665</v>
      </c>
      <c r="J59" s="73">
        <f t="shared" si="40"/>
        <v>5808.166666666667</v>
      </c>
      <c r="K59" s="41">
        <f ca="1">K60*K$39</f>
        <v>9455.812093616194</v>
      </c>
      <c r="L59" s="41">
        <f t="shared" ref="L59" ca="1" si="41">L60*L$39</f>
        <v>15742.531185676566</v>
      </c>
      <c r="M59" s="41">
        <f t="shared" ref="M59" ca="1" si="42">M60*M$39</f>
        <v>20924.459171300474</v>
      </c>
      <c r="N59" s="41">
        <f t="shared" ref="N59" ca="1" si="43">N60*N$39</f>
        <v>25937.618470757981</v>
      </c>
      <c r="O59" s="41">
        <f t="shared" ref="O59" ca="1" si="44">O60*O$39</f>
        <v>29828.261241371678</v>
      </c>
    </row>
    <row r="60" spans="2:15" x14ac:dyDescent="0.25">
      <c r="B60" s="20" t="s">
        <v>8</v>
      </c>
      <c r="C60" s="42">
        <f>C59/C39</f>
        <v>5.1901291579479036E-2</v>
      </c>
      <c r="D60" s="42">
        <f t="shared" ref="D60:J60" si="45">D59/D39</f>
        <v>4.5359370021393786E-2</v>
      </c>
      <c r="E60" s="42">
        <f t="shared" si="45"/>
        <v>6.6362050601256536E-2</v>
      </c>
      <c r="F60" s="42">
        <f t="shared" si="45"/>
        <v>3.7936999766571063E-2</v>
      </c>
      <c r="G60" s="42">
        <f t="shared" si="45"/>
        <v>6.5318822845983671E-2</v>
      </c>
      <c r="H60" s="42">
        <f t="shared" si="45"/>
        <v>1.9497472443610529E-2</v>
      </c>
      <c r="I60" s="42">
        <f t="shared" si="45"/>
        <v>2.4502318581598768E-2</v>
      </c>
      <c r="J60" s="42">
        <f t="shared" si="45"/>
        <v>2.7814503464940552E-2</v>
      </c>
      <c r="K60" s="75">
        <f>AVERAGE(H60:J60)</f>
        <v>2.3938098163383284E-2</v>
      </c>
      <c r="L60" s="75">
        <f>K60</f>
        <v>2.3938098163383284E-2</v>
      </c>
      <c r="M60" s="75">
        <f t="shared" ref="M60:O60" si="46">L60</f>
        <v>2.3938098163383284E-2</v>
      </c>
      <c r="N60" s="75">
        <f t="shared" si="46"/>
        <v>2.3938098163383284E-2</v>
      </c>
      <c r="O60" s="75">
        <f t="shared" si="46"/>
        <v>2.3938098163383284E-2</v>
      </c>
    </row>
    <row r="61" spans="2:15" x14ac:dyDescent="0.25"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</row>
    <row r="62" spans="2:15" x14ac:dyDescent="0.25">
      <c r="B62" s="10" t="s">
        <v>106</v>
      </c>
      <c r="C62" s="73">
        <f>C33</f>
        <v>812.08333333333326</v>
      </c>
      <c r="D62" s="73">
        <f t="shared" ref="D62:J62" si="47">D33</f>
        <v>-559.99999999999989</v>
      </c>
      <c r="E62" s="73">
        <f t="shared" si="47"/>
        <v>736.41666666666663</v>
      </c>
      <c r="F62" s="73">
        <f t="shared" si="47"/>
        <v>3330.9166666666665</v>
      </c>
      <c r="G62" s="73">
        <f t="shared" si="47"/>
        <v>2550.333333333333</v>
      </c>
      <c r="H62" s="73">
        <f t="shared" si="47"/>
        <v>4087.9166666666665</v>
      </c>
      <c r="I62" s="73">
        <f t="shared" si="47"/>
        <v>10073.333333333332</v>
      </c>
      <c r="J62" s="41" t="s">
        <v>110</v>
      </c>
      <c r="K62" s="41">
        <f ca="1">K63*K$39</f>
        <v>32353.374448800907</v>
      </c>
      <c r="L62" s="41">
        <f t="shared" ref="L62:O62" ca="1" si="48">L63*L$39</f>
        <v>53863.592167400871</v>
      </c>
      <c r="M62" s="41">
        <f t="shared" ca="1" si="48"/>
        <v>71593.730501981001</v>
      </c>
      <c r="N62" s="41">
        <f t="shared" ca="1" si="48"/>
        <v>88746.421183761428</v>
      </c>
      <c r="O62" s="41">
        <f t="shared" ca="1" si="48"/>
        <v>102058.38436132563</v>
      </c>
    </row>
    <row r="63" spans="2:15" x14ac:dyDescent="0.25">
      <c r="B63" s="10" t="s">
        <v>8</v>
      </c>
      <c r="C63" s="42">
        <f>C62/C39</f>
        <v>7.0315318565553064E-2</v>
      </c>
      <c r="D63" s="42">
        <f t="shared" ref="D63:J63" si="49">D62/D39</f>
        <v>-5.0980927670808855E-2</v>
      </c>
      <c r="E63" s="42">
        <f t="shared" si="49"/>
        <v>4.5471151520764828E-2</v>
      </c>
      <c r="F63" s="42">
        <f t="shared" si="49"/>
        <v>0.12781353823917835</v>
      </c>
      <c r="G63" s="42">
        <f t="shared" si="49"/>
        <v>9.456536517235839E-2</v>
      </c>
      <c r="H63" s="42">
        <f t="shared" si="49"/>
        <v>7.0368489605747098E-2</v>
      </c>
      <c r="I63" s="42">
        <f t="shared" si="49"/>
        <v>8.0781133782726278E-2</v>
      </c>
      <c r="J63" s="42" t="s">
        <v>110</v>
      </c>
      <c r="K63" s="75">
        <f>AVERAGE(G63:I63)</f>
        <v>8.1904996186943926E-2</v>
      </c>
      <c r="L63" s="75">
        <f>K63</f>
        <v>8.1904996186943926E-2</v>
      </c>
      <c r="M63" s="75">
        <f t="shared" ref="M63:O63" si="50">L63</f>
        <v>8.1904996186943926E-2</v>
      </c>
      <c r="N63" s="75">
        <f t="shared" si="50"/>
        <v>8.1904996186943926E-2</v>
      </c>
      <c r="O63" s="75">
        <f t="shared" si="50"/>
        <v>8.1904996186943926E-2</v>
      </c>
    </row>
    <row r="64" spans="2:15" x14ac:dyDescent="0.25">
      <c r="B64" s="10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</row>
    <row r="65" spans="2:15" x14ac:dyDescent="0.25">
      <c r="B65" s="64" t="s">
        <v>117</v>
      </c>
      <c r="C65" s="81"/>
      <c r="D65" s="81"/>
      <c r="E65" s="81"/>
      <c r="F65" s="81"/>
      <c r="G65" s="81"/>
      <c r="H65" s="81"/>
      <c r="I65" s="81"/>
      <c r="J65" s="81"/>
      <c r="K65" s="82">
        <f ca="1">K54+K56-K59-K62</f>
        <v>182939.00009326456</v>
      </c>
      <c r="L65" s="82">
        <f ca="1">L54+L56-L59-L62</f>
        <v>301039.88705119619</v>
      </c>
      <c r="M65" s="82">
        <f ca="1">M54+M56-M59-M62</f>
        <v>397866.68785751361</v>
      </c>
      <c r="N65" s="82">
        <f ca="1">N54+N56-N59-N62</f>
        <v>490380.51710798475</v>
      </c>
      <c r="O65" s="82">
        <f ca="1">O54+O56-O59-O62</f>
        <v>560707.77022908698</v>
      </c>
    </row>
    <row r="66" spans="2:15" x14ac:dyDescent="0.25">
      <c r="B66" s="65" t="s">
        <v>118</v>
      </c>
      <c r="C66" s="83"/>
      <c r="D66" s="83"/>
      <c r="E66" s="83"/>
      <c r="F66" s="83"/>
      <c r="G66" s="83"/>
      <c r="H66" s="83"/>
      <c r="I66" s="83"/>
      <c r="J66" s="83"/>
      <c r="K66" s="84">
        <f ca="1">K65/(1+wacc)^K69</f>
        <v>180412.84766368018</v>
      </c>
      <c r="L66" s="84">
        <f ca="1">L65/(1+wacc)^L69</f>
        <v>276038.78186309821</v>
      </c>
      <c r="M66" s="84">
        <f ca="1">M65/(1+wacc)^M69</f>
        <v>324288.17747822526</v>
      </c>
      <c r="N66" s="84">
        <f ca="1">N65/(1+wacc)^N69</f>
        <v>355282.83220272767</v>
      </c>
      <c r="O66" s="84">
        <f ca="1">O65/(1+wacc)^O69</f>
        <v>361097.98673605965</v>
      </c>
    </row>
    <row r="67" spans="2:15" x14ac:dyDescent="0.25"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</row>
    <row r="68" spans="2:15" x14ac:dyDescent="0.25">
      <c r="B68" s="10" t="s">
        <v>132</v>
      </c>
      <c r="C68" s="77"/>
      <c r="D68" s="77"/>
      <c r="E68" s="77"/>
      <c r="F68" s="77"/>
      <c r="G68" s="77"/>
      <c r="H68" s="77"/>
      <c r="I68" s="77"/>
      <c r="J68" s="77"/>
      <c r="K68" s="85">
        <f ca="1">YEARFRAC(C5,C6)</f>
        <v>0.2361111111111111</v>
      </c>
      <c r="L68" s="85">
        <f ca="1">K68+1</f>
        <v>1.2361111111111112</v>
      </c>
      <c r="M68" s="85">
        <f t="shared" ref="M68:O68" ca="1" si="51">L68+1</f>
        <v>2.2361111111111112</v>
      </c>
      <c r="N68" s="85">
        <f t="shared" ca="1" si="51"/>
        <v>3.2361111111111112</v>
      </c>
      <c r="O68" s="85">
        <f t="shared" ca="1" si="51"/>
        <v>4.2361111111111107</v>
      </c>
    </row>
    <row r="69" spans="2:15" x14ac:dyDescent="0.25">
      <c r="B69" s="10" t="s">
        <v>133</v>
      </c>
      <c r="C69" s="77"/>
      <c r="D69" s="77"/>
      <c r="E69" s="77"/>
      <c r="F69" s="77"/>
      <c r="G69" s="77"/>
      <c r="H69" s="77"/>
      <c r="I69" s="77"/>
      <c r="J69" s="77"/>
      <c r="K69" s="85">
        <f ca="1">K68/2</f>
        <v>0.11805555555555555</v>
      </c>
      <c r="L69" s="85">
        <f ca="1">K68+0.5</f>
        <v>0.73611111111111116</v>
      </c>
      <c r="M69" s="85">
        <f ca="1">L69+1</f>
        <v>1.7361111111111112</v>
      </c>
      <c r="N69" s="85">
        <f ca="1">M69+1</f>
        <v>2.7361111111111112</v>
      </c>
      <c r="O69" s="85">
        <f ca="1">N69+1</f>
        <v>3.7361111111111112</v>
      </c>
    </row>
    <row r="70" spans="2:15" x14ac:dyDescent="0.25">
      <c r="C70" s="77"/>
      <c r="D70" s="77"/>
      <c r="E70" s="77"/>
      <c r="F70" s="77"/>
      <c r="G70" s="77"/>
      <c r="H70" s="77"/>
      <c r="I70" s="77"/>
      <c r="J70" s="77"/>
      <c r="K70" s="77"/>
      <c r="L70" s="86"/>
      <c r="M70" s="77"/>
      <c r="N70" s="77"/>
      <c r="O70" s="77"/>
    </row>
    <row r="71" spans="2:15" x14ac:dyDescent="0.25">
      <c r="B71" s="10" t="s">
        <v>144</v>
      </c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87">
        <f ca="1">(O65*(1+tgr))/(wacc-tgr)</f>
        <v>5747254.6448481409</v>
      </c>
    </row>
    <row r="72" spans="2:15" x14ac:dyDescent="0.25">
      <c r="B72" s="10" t="s">
        <v>145</v>
      </c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87">
        <f ca="1">O71/(1+wacc)^O69</f>
        <v>3701254.3640446109</v>
      </c>
    </row>
    <row r="73" spans="2:15" x14ac:dyDescent="0.25">
      <c r="B73" s="10" t="s">
        <v>138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87">
        <f ca="1">SUM(K66:O66)+O72</f>
        <v>5198374.9899884015</v>
      </c>
    </row>
    <row r="74" spans="2:15" x14ac:dyDescent="0.25">
      <c r="B74" s="10" t="s">
        <v>139</v>
      </c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41">
        <v>62556</v>
      </c>
    </row>
    <row r="75" spans="2:15" x14ac:dyDescent="0.25">
      <c r="B75" s="10" t="s">
        <v>140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41">
        <f>WACC!D7</f>
        <v>32366</v>
      </c>
    </row>
    <row r="76" spans="2:15" x14ac:dyDescent="0.25">
      <c r="B76" s="10" t="s">
        <v>141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41">
        <f ca="1">O73+O74-O75</f>
        <v>5228564.9899884015</v>
      </c>
    </row>
    <row r="77" spans="2:15" x14ac:dyDescent="0.25"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</row>
    <row r="78" spans="2:15" x14ac:dyDescent="0.25">
      <c r="B78" s="10" t="s">
        <v>142</v>
      </c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41">
        <v>24285</v>
      </c>
    </row>
    <row r="79" spans="2:15" x14ac:dyDescent="0.25">
      <c r="B79" s="10" t="s">
        <v>143</v>
      </c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88">
        <f ca="1">O76/O78</f>
        <v>215.30018488731321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5A5E-2C11-4833-9F6C-05934AAB92B7}">
  <dimension ref="A1:L82"/>
  <sheetViews>
    <sheetView workbookViewId="0">
      <selection activeCell="J24" sqref="J24"/>
    </sheetView>
  </sheetViews>
  <sheetFormatPr defaultRowHeight="15" x14ac:dyDescent="0.25"/>
  <cols>
    <col min="1" max="1" width="52.140625" bestFit="1" customWidth="1"/>
    <col min="2" max="4" width="12" bestFit="1" customWidth="1"/>
    <col min="5" max="5" width="15.28515625" customWidth="1"/>
    <col min="6" max="9" width="12" bestFit="1" customWidth="1"/>
    <col min="10" max="10" width="16" bestFit="1" customWidth="1"/>
    <col min="11" max="12" width="12" bestFit="1" customWidth="1"/>
  </cols>
  <sheetData>
    <row r="1" spans="1:12" x14ac:dyDescent="0.25">
      <c r="A1" t="s">
        <v>51</v>
      </c>
    </row>
    <row r="4" spans="1:12" x14ac:dyDescent="0.25">
      <c r="B4" s="1">
        <f>11/12</f>
        <v>0.91666666666666663</v>
      </c>
      <c r="C4" s="1">
        <f>1/12</f>
        <v>8.3333333333333329E-2</v>
      </c>
    </row>
    <row r="5" spans="1:12" x14ac:dyDescent="0.25">
      <c r="A5" t="s">
        <v>16</v>
      </c>
    </row>
    <row r="6" spans="1:12" x14ac:dyDescent="0.25">
      <c r="A6" t="s">
        <v>17</v>
      </c>
      <c r="B6" t="s">
        <v>49</v>
      </c>
      <c r="C6" t="s">
        <v>48</v>
      </c>
      <c r="D6" t="s">
        <v>47</v>
      </c>
      <c r="E6" t="s">
        <v>45</v>
      </c>
      <c r="F6" t="s">
        <v>44</v>
      </c>
      <c r="G6" t="s">
        <v>43</v>
      </c>
      <c r="H6" t="s">
        <v>21</v>
      </c>
      <c r="I6" t="s">
        <v>20</v>
      </c>
      <c r="J6" t="s">
        <v>19</v>
      </c>
    </row>
    <row r="7" spans="1:12" x14ac:dyDescent="0.25">
      <c r="A7" t="s">
        <v>22</v>
      </c>
    </row>
    <row r="8" spans="1:12" x14ac:dyDescent="0.25">
      <c r="A8" t="s">
        <v>5</v>
      </c>
      <c r="B8" s="12">
        <v>9714</v>
      </c>
      <c r="C8" s="12">
        <v>11716</v>
      </c>
      <c r="D8" s="12">
        <v>10918</v>
      </c>
      <c r="E8" s="12">
        <v>16675</v>
      </c>
      <c r="F8" s="12">
        <v>26914</v>
      </c>
      <c r="G8" s="12">
        <v>26974</v>
      </c>
      <c r="H8" s="12">
        <v>60922</v>
      </c>
      <c r="I8" s="12">
        <v>130497</v>
      </c>
      <c r="J8" s="12">
        <v>215938</v>
      </c>
      <c r="K8" s="12"/>
      <c r="L8" s="12"/>
    </row>
    <row r="9" spans="1:12" x14ac:dyDescent="0.25">
      <c r="A9" t="s">
        <v>23</v>
      </c>
      <c r="B9" s="13">
        <v>3892</v>
      </c>
      <c r="C9" s="13">
        <v>4545</v>
      </c>
      <c r="D9" s="13">
        <v>4150</v>
      </c>
      <c r="E9" s="13">
        <v>6279</v>
      </c>
      <c r="F9" s="13">
        <v>9439</v>
      </c>
      <c r="G9" s="13">
        <v>11618</v>
      </c>
      <c r="H9" s="13">
        <v>16621</v>
      </c>
      <c r="I9" s="13">
        <v>32639</v>
      </c>
      <c r="J9" s="13">
        <v>62475</v>
      </c>
      <c r="K9" s="13"/>
      <c r="L9" s="13"/>
    </row>
    <row r="10" spans="1:12" x14ac:dyDescent="0.25">
      <c r="A10" t="s">
        <v>24</v>
      </c>
      <c r="B10" s="13">
        <v>5822</v>
      </c>
      <c r="C10" s="13">
        <v>7171</v>
      </c>
      <c r="D10" s="13">
        <v>6768</v>
      </c>
      <c r="E10" s="13">
        <v>10396</v>
      </c>
      <c r="F10" s="13">
        <v>17475</v>
      </c>
      <c r="G10" s="13">
        <v>15356</v>
      </c>
      <c r="H10" s="13">
        <v>44301</v>
      </c>
      <c r="I10" s="13">
        <v>97858</v>
      </c>
      <c r="J10" s="13">
        <v>153463</v>
      </c>
      <c r="K10" s="13"/>
      <c r="L10" s="13"/>
    </row>
    <row r="11" spans="1:12" x14ac:dyDescent="0.25">
      <c r="A11" t="s">
        <v>25</v>
      </c>
    </row>
    <row r="12" spans="1:12" x14ac:dyDescent="0.25">
      <c r="A12" t="s">
        <v>26</v>
      </c>
      <c r="B12" s="13">
        <v>1797</v>
      </c>
      <c r="C12" s="13">
        <v>2376</v>
      </c>
      <c r="D12" s="13">
        <v>2829</v>
      </c>
      <c r="E12" s="13">
        <v>3924</v>
      </c>
      <c r="F12" s="13">
        <v>5268</v>
      </c>
      <c r="G12" s="13">
        <v>7339</v>
      </c>
      <c r="H12" s="13">
        <v>8675</v>
      </c>
      <c r="I12" s="13">
        <v>12914</v>
      </c>
      <c r="J12" s="13">
        <v>18497</v>
      </c>
      <c r="K12" s="13"/>
      <c r="L12" s="13"/>
    </row>
    <row r="13" spans="1:12" x14ac:dyDescent="0.25">
      <c r="A13" t="s">
        <v>27</v>
      </c>
      <c r="B13">
        <v>815</v>
      </c>
      <c r="C13">
        <v>991</v>
      </c>
      <c r="D13" s="13">
        <v>1093</v>
      </c>
      <c r="E13" s="13">
        <v>1940</v>
      </c>
      <c r="F13" s="13">
        <v>2166</v>
      </c>
      <c r="G13" s="13">
        <v>2440</v>
      </c>
      <c r="H13" s="13">
        <v>2654</v>
      </c>
      <c r="I13" s="13">
        <v>3491</v>
      </c>
      <c r="J13" s="13">
        <v>4579</v>
      </c>
    </row>
    <row r="14" spans="1:12" x14ac:dyDescent="0.25">
      <c r="A14" t="s">
        <v>46</v>
      </c>
      <c r="E14">
        <v>0</v>
      </c>
      <c r="F14">
        <v>0</v>
      </c>
      <c r="G14" s="13">
        <v>1353</v>
      </c>
      <c r="H14" s="13"/>
      <c r="I14" s="13"/>
      <c r="J14" s="13"/>
    </row>
    <row r="15" spans="1:12" x14ac:dyDescent="0.25">
      <c r="A15" t="s">
        <v>50</v>
      </c>
      <c r="G15" s="13"/>
      <c r="H15" s="13"/>
      <c r="I15" s="13"/>
      <c r="J15" s="13"/>
    </row>
    <row r="16" spans="1:12" x14ac:dyDescent="0.25">
      <c r="A16" t="s">
        <v>28</v>
      </c>
      <c r="B16" s="13">
        <v>2612</v>
      </c>
      <c r="C16" s="13">
        <v>3367</v>
      </c>
      <c r="D16" s="13">
        <v>3922</v>
      </c>
      <c r="E16" s="13">
        <v>5864</v>
      </c>
      <c r="F16" s="13">
        <v>7434</v>
      </c>
      <c r="G16" s="13">
        <v>11132</v>
      </c>
      <c r="H16" s="13">
        <v>11329</v>
      </c>
      <c r="I16" s="13">
        <v>16405</v>
      </c>
      <c r="J16" s="13">
        <v>23076</v>
      </c>
      <c r="K16" s="13"/>
    </row>
    <row r="17" spans="1:11" x14ac:dyDescent="0.25">
      <c r="A17" t="s">
        <v>29</v>
      </c>
      <c r="B17" s="13">
        <v>3210</v>
      </c>
      <c r="C17" s="13">
        <v>3804</v>
      </c>
      <c r="D17" s="13">
        <v>2846</v>
      </c>
      <c r="E17" s="13">
        <v>4532</v>
      </c>
      <c r="F17" s="13">
        <v>10041</v>
      </c>
      <c r="G17" s="13">
        <v>4224</v>
      </c>
      <c r="H17" s="13">
        <v>32972</v>
      </c>
      <c r="I17" s="13">
        <v>81453</v>
      </c>
      <c r="J17" s="13">
        <v>130387</v>
      </c>
      <c r="K17" s="13"/>
    </row>
    <row r="18" spans="1:11" x14ac:dyDescent="0.25">
      <c r="A18" t="s">
        <v>30</v>
      </c>
      <c r="B18">
        <v>69</v>
      </c>
      <c r="C18">
        <v>136</v>
      </c>
      <c r="D18">
        <v>178</v>
      </c>
      <c r="E18">
        <v>57</v>
      </c>
      <c r="F18">
        <v>29</v>
      </c>
      <c r="G18">
        <v>267</v>
      </c>
      <c r="H18">
        <v>866</v>
      </c>
      <c r="I18" s="13">
        <v>1786</v>
      </c>
      <c r="J18" s="13">
        <v>2300</v>
      </c>
    </row>
    <row r="19" spans="1:11" x14ac:dyDescent="0.25">
      <c r="A19" t="s">
        <v>31</v>
      </c>
      <c r="B19">
        <v>-61</v>
      </c>
      <c r="C19">
        <v>-58</v>
      </c>
      <c r="D19">
        <v>-52</v>
      </c>
      <c r="E19">
        <v>-184</v>
      </c>
      <c r="F19">
        <v>-236</v>
      </c>
      <c r="G19">
        <v>-262</v>
      </c>
      <c r="H19">
        <v>-257</v>
      </c>
      <c r="I19">
        <v>-247</v>
      </c>
      <c r="J19">
        <v>-259</v>
      </c>
    </row>
    <row r="20" spans="1:11" x14ac:dyDescent="0.25">
      <c r="A20" t="s">
        <v>32</v>
      </c>
      <c r="B20">
        <v>-22</v>
      </c>
      <c r="C20">
        <v>14</v>
      </c>
      <c r="D20">
        <v>-2</v>
      </c>
      <c r="E20">
        <v>4</v>
      </c>
      <c r="F20">
        <v>107</v>
      </c>
      <c r="G20">
        <v>-48</v>
      </c>
      <c r="H20">
        <v>237</v>
      </c>
      <c r="I20" s="13">
        <v>1034</v>
      </c>
      <c r="J20" s="13">
        <v>9022</v>
      </c>
    </row>
    <row r="21" spans="1:11" x14ac:dyDescent="0.25">
      <c r="A21" t="s">
        <v>33</v>
      </c>
      <c r="B21">
        <v>-14</v>
      </c>
      <c r="C21">
        <v>92</v>
      </c>
      <c r="D21">
        <v>124</v>
      </c>
      <c r="E21">
        <v>-123</v>
      </c>
      <c r="F21">
        <v>-100</v>
      </c>
      <c r="G21">
        <v>-43</v>
      </c>
      <c r="H21">
        <v>846</v>
      </c>
      <c r="I21" s="13">
        <v>2573</v>
      </c>
      <c r="J21" s="13">
        <v>11063</v>
      </c>
    </row>
    <row r="22" spans="1:11" x14ac:dyDescent="0.25">
      <c r="A22" t="s">
        <v>34</v>
      </c>
      <c r="B22" s="13">
        <v>3196</v>
      </c>
      <c r="C22" s="13">
        <v>3896</v>
      </c>
      <c r="D22" s="13">
        <v>2970</v>
      </c>
      <c r="E22" s="13">
        <v>4409</v>
      </c>
      <c r="F22" s="13">
        <v>9941</v>
      </c>
      <c r="G22" s="13">
        <v>4181</v>
      </c>
      <c r="H22" s="13">
        <v>33818</v>
      </c>
      <c r="I22" s="13">
        <v>84026</v>
      </c>
      <c r="J22" s="13">
        <v>141450</v>
      </c>
    </row>
    <row r="23" spans="1:11" x14ac:dyDescent="0.25">
      <c r="A23" t="s">
        <v>35</v>
      </c>
      <c r="B23">
        <v>149</v>
      </c>
      <c r="C23">
        <v>-245</v>
      </c>
      <c r="D23">
        <v>174</v>
      </c>
      <c r="E23">
        <v>77</v>
      </c>
      <c r="F23">
        <v>189</v>
      </c>
      <c r="G23">
        <v>-187</v>
      </c>
      <c r="H23" s="13">
        <v>4058</v>
      </c>
      <c r="I23" s="13">
        <v>11146</v>
      </c>
      <c r="J23" s="13">
        <v>21383</v>
      </c>
    </row>
    <row r="24" spans="1:11" x14ac:dyDescent="0.25">
      <c r="A24" t="s">
        <v>36</v>
      </c>
      <c r="B24" s="12">
        <v>3047</v>
      </c>
      <c r="C24" s="12">
        <v>4141</v>
      </c>
      <c r="D24" s="12">
        <v>2796</v>
      </c>
      <c r="E24" s="12">
        <v>4332</v>
      </c>
      <c r="F24" s="12">
        <v>9752</v>
      </c>
      <c r="G24" s="12">
        <v>4368</v>
      </c>
      <c r="H24" s="12">
        <v>29760</v>
      </c>
      <c r="I24" s="12">
        <v>72880</v>
      </c>
      <c r="J24" s="12">
        <v>120067</v>
      </c>
    </row>
    <row r="25" spans="1:11" x14ac:dyDescent="0.25">
      <c r="A25" t="s">
        <v>37</v>
      </c>
    </row>
    <row r="26" spans="1:11" x14ac:dyDescent="0.25">
      <c r="A26" t="s">
        <v>38</v>
      </c>
      <c r="B26" s="14">
        <v>5.09</v>
      </c>
      <c r="C26" s="14">
        <v>6.81</v>
      </c>
      <c r="D26" s="14">
        <v>4.59</v>
      </c>
      <c r="E26" s="14">
        <v>1.76</v>
      </c>
      <c r="F26" s="14">
        <v>3.91</v>
      </c>
      <c r="G26" s="14">
        <v>1.76</v>
      </c>
      <c r="H26" s="14">
        <v>1.21</v>
      </c>
      <c r="I26" s="14">
        <v>2.97</v>
      </c>
      <c r="J26" s="14">
        <v>4.93</v>
      </c>
    </row>
    <row r="27" spans="1:11" x14ac:dyDescent="0.25">
      <c r="A27" t="s">
        <v>39</v>
      </c>
      <c r="B27" s="14">
        <v>4.82</v>
      </c>
      <c r="C27" s="14">
        <v>6.63</v>
      </c>
      <c r="D27" s="14">
        <v>4.5199999999999996</v>
      </c>
      <c r="E27" s="14">
        <v>1.73</v>
      </c>
      <c r="F27" s="14">
        <v>3.85</v>
      </c>
      <c r="G27" s="14">
        <v>1.74</v>
      </c>
      <c r="H27" s="14">
        <v>1.19</v>
      </c>
      <c r="I27" s="14">
        <v>2.94</v>
      </c>
      <c r="J27" s="14">
        <v>4.9000000000000004</v>
      </c>
    </row>
    <row r="28" spans="1:11" x14ac:dyDescent="0.25">
      <c r="A28" t="s">
        <v>40</v>
      </c>
    </row>
    <row r="29" spans="1:11" x14ac:dyDescent="0.25">
      <c r="A29" t="s">
        <v>41</v>
      </c>
      <c r="B29">
        <v>599</v>
      </c>
      <c r="C29">
        <v>608</v>
      </c>
      <c r="D29">
        <v>609</v>
      </c>
      <c r="E29" s="13">
        <v>2467</v>
      </c>
      <c r="F29" s="13">
        <v>2496</v>
      </c>
      <c r="G29" s="13">
        <v>2487</v>
      </c>
      <c r="H29" s="13">
        <v>24690</v>
      </c>
      <c r="I29" s="13">
        <v>24555</v>
      </c>
      <c r="J29" s="13">
        <v>24359</v>
      </c>
    </row>
    <row r="30" spans="1:11" x14ac:dyDescent="0.25">
      <c r="A30" t="s">
        <v>42</v>
      </c>
      <c r="B30">
        <v>632</v>
      </c>
      <c r="C30">
        <v>625</v>
      </c>
      <c r="D30">
        <v>618</v>
      </c>
      <c r="E30" s="13">
        <v>2510</v>
      </c>
      <c r="F30" s="13">
        <v>2535</v>
      </c>
      <c r="G30" s="13">
        <v>2507</v>
      </c>
      <c r="H30" s="13">
        <v>24940</v>
      </c>
      <c r="I30" s="13">
        <v>24804</v>
      </c>
      <c r="J30" s="13">
        <v>24514</v>
      </c>
    </row>
    <row r="34" spans="1:2" x14ac:dyDescent="0.25">
      <c r="A34" t="s">
        <v>52</v>
      </c>
    </row>
    <row r="44" spans="1:2" x14ac:dyDescent="0.25">
      <c r="B44" s="13"/>
    </row>
    <row r="50" spans="2:7" x14ac:dyDescent="0.25">
      <c r="C50" s="13"/>
    </row>
    <row r="51" spans="2:7" x14ac:dyDescent="0.25">
      <c r="B51" s="12"/>
    </row>
    <row r="52" spans="2:7" x14ac:dyDescent="0.25">
      <c r="B52" s="14"/>
      <c r="C52" s="12"/>
    </row>
    <row r="53" spans="2:7" x14ac:dyDescent="0.25">
      <c r="B53" s="14"/>
    </row>
    <row r="54" spans="2:7" x14ac:dyDescent="0.25">
      <c r="C54" s="14"/>
    </row>
    <row r="55" spans="2:7" x14ac:dyDescent="0.25">
      <c r="C55" s="14"/>
    </row>
    <row r="56" spans="2:7" x14ac:dyDescent="0.25">
      <c r="B56" s="14"/>
    </row>
    <row r="58" spans="2:7" x14ac:dyDescent="0.25">
      <c r="C58" s="14"/>
    </row>
    <row r="63" spans="2:7" x14ac:dyDescent="0.25">
      <c r="G63" s="12"/>
    </row>
    <row r="64" spans="2:7" x14ac:dyDescent="0.25">
      <c r="G64" s="13"/>
    </row>
    <row r="65" spans="7:7" x14ac:dyDescent="0.25">
      <c r="G65" s="13"/>
    </row>
    <row r="67" spans="7:7" x14ac:dyDescent="0.25">
      <c r="G67" s="13"/>
    </row>
    <row r="70" spans="7:7" x14ac:dyDescent="0.25">
      <c r="G70" s="13"/>
    </row>
    <row r="77" spans="7:7" x14ac:dyDescent="0.25">
      <c r="G77" s="12"/>
    </row>
    <row r="78" spans="7:7" x14ac:dyDescent="0.25">
      <c r="G78" s="14"/>
    </row>
    <row r="79" spans="7:7" x14ac:dyDescent="0.25">
      <c r="G79" s="14"/>
    </row>
    <row r="82" spans="7:7" x14ac:dyDescent="0.25">
      <c r="G8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94E3-0DC5-4CCD-AE55-5E80B4820E51}">
  <dimension ref="A1:K123"/>
  <sheetViews>
    <sheetView topLeftCell="A3" workbookViewId="0">
      <selection activeCell="B9" sqref="B9"/>
    </sheetView>
  </sheetViews>
  <sheetFormatPr defaultRowHeight="15" x14ac:dyDescent="0.25"/>
  <cols>
    <col min="1" max="1" width="65.140625" customWidth="1"/>
    <col min="2" max="4" width="12" bestFit="1" customWidth="1"/>
    <col min="5" max="9" width="12" customWidth="1"/>
    <col min="10" max="10" width="18" customWidth="1"/>
  </cols>
  <sheetData>
    <row r="1" spans="1:10" x14ac:dyDescent="0.25">
      <c r="A1" t="s">
        <v>58</v>
      </c>
    </row>
    <row r="3" spans="1:10" x14ac:dyDescent="0.25">
      <c r="A3" t="s">
        <v>97</v>
      </c>
      <c r="J3" t="s">
        <v>18</v>
      </c>
    </row>
    <row r="4" spans="1:10" x14ac:dyDescent="0.25">
      <c r="A4" t="s">
        <v>59</v>
      </c>
      <c r="B4" t="s">
        <v>49</v>
      </c>
      <c r="C4" t="s">
        <v>48</v>
      </c>
      <c r="D4" t="s">
        <v>47</v>
      </c>
      <c r="E4" t="s">
        <v>45</v>
      </c>
      <c r="F4" t="s">
        <v>44</v>
      </c>
      <c r="G4" t="s">
        <v>43</v>
      </c>
      <c r="H4" t="s">
        <v>21</v>
      </c>
      <c r="I4" t="s">
        <v>20</v>
      </c>
      <c r="J4" t="s">
        <v>19</v>
      </c>
    </row>
    <row r="5" spans="1:10" x14ac:dyDescent="0.25">
      <c r="A5" t="s">
        <v>60</v>
      </c>
    </row>
    <row r="6" spans="1:10" x14ac:dyDescent="0.25">
      <c r="A6" t="s">
        <v>36</v>
      </c>
      <c r="B6" s="12">
        <v>3047</v>
      </c>
      <c r="C6" s="12">
        <v>4141</v>
      </c>
      <c r="D6" s="12">
        <v>2796</v>
      </c>
      <c r="E6" s="12">
        <v>4332</v>
      </c>
      <c r="F6" s="12">
        <v>9752</v>
      </c>
      <c r="G6" s="12">
        <v>4368</v>
      </c>
      <c r="H6" s="12">
        <v>29760</v>
      </c>
      <c r="I6" s="12">
        <v>72880</v>
      </c>
      <c r="J6" s="12">
        <v>120067</v>
      </c>
    </row>
    <row r="7" spans="1:10" x14ac:dyDescent="0.25">
      <c r="A7" t="s">
        <v>61</v>
      </c>
    </row>
    <row r="8" spans="1:10" x14ac:dyDescent="0.25">
      <c r="A8" t="s">
        <v>62</v>
      </c>
      <c r="B8">
        <v>391</v>
      </c>
      <c r="C8">
        <v>557</v>
      </c>
      <c r="D8">
        <v>844</v>
      </c>
      <c r="E8" s="13">
        <v>1397</v>
      </c>
      <c r="F8" s="13">
        <v>2004</v>
      </c>
      <c r="G8" s="13">
        <v>2709</v>
      </c>
      <c r="H8" s="12">
        <v>3549</v>
      </c>
      <c r="I8" s="12">
        <v>4737</v>
      </c>
      <c r="J8" s="12">
        <v>6386</v>
      </c>
    </row>
    <row r="9" spans="1:10" x14ac:dyDescent="0.25">
      <c r="A9" t="s">
        <v>63</v>
      </c>
      <c r="B9">
        <v>199</v>
      </c>
      <c r="C9">
        <v>262</v>
      </c>
      <c r="D9">
        <v>381</v>
      </c>
      <c r="E9" s="13">
        <v>1098</v>
      </c>
      <c r="F9" s="13">
        <v>1174</v>
      </c>
      <c r="G9" s="13">
        <v>1544</v>
      </c>
      <c r="H9" s="13">
        <v>1508</v>
      </c>
      <c r="I9" s="13">
        <v>1864</v>
      </c>
      <c r="J9" s="13">
        <v>2843</v>
      </c>
    </row>
    <row r="10" spans="1:10" x14ac:dyDescent="0.25">
      <c r="A10" t="s">
        <v>98</v>
      </c>
      <c r="H10">
        <v>-238</v>
      </c>
      <c r="I10" s="13">
        <v>-1030</v>
      </c>
      <c r="J10" s="13">
        <v>-8918</v>
      </c>
    </row>
    <row r="11" spans="1:10" x14ac:dyDescent="0.25">
      <c r="A11" s="13" t="s">
        <v>46</v>
      </c>
      <c r="E11">
        <v>0</v>
      </c>
      <c r="F11">
        <v>0</v>
      </c>
      <c r="G11" s="13">
        <v>1353</v>
      </c>
      <c r="I11" s="13"/>
      <c r="J11" s="13"/>
    </row>
    <row r="12" spans="1:10" x14ac:dyDescent="0.25">
      <c r="A12" s="13" t="s">
        <v>105</v>
      </c>
      <c r="E12">
        <v>0</v>
      </c>
      <c r="F12">
        <v>-100</v>
      </c>
      <c r="G12">
        <v>45</v>
      </c>
      <c r="I12" s="13"/>
      <c r="J12" s="13"/>
    </row>
    <row r="13" spans="1:10" x14ac:dyDescent="0.25">
      <c r="A13" t="s">
        <v>64</v>
      </c>
      <c r="B13">
        <v>19</v>
      </c>
      <c r="C13">
        <v>0</v>
      </c>
      <c r="D13">
        <v>0</v>
      </c>
      <c r="I13" s="13"/>
      <c r="J13" s="13"/>
    </row>
    <row r="14" spans="1:10" x14ac:dyDescent="0.25">
      <c r="A14" t="s">
        <v>65</v>
      </c>
      <c r="B14">
        <v>-359</v>
      </c>
      <c r="C14">
        <v>-315</v>
      </c>
      <c r="D14">
        <v>18</v>
      </c>
      <c r="E14">
        <v>-282</v>
      </c>
      <c r="F14">
        <v>-406</v>
      </c>
      <c r="G14" s="13">
        <v>-2164</v>
      </c>
      <c r="H14" s="13">
        <v>-2489</v>
      </c>
      <c r="I14" s="13">
        <v>-4477</v>
      </c>
      <c r="J14" s="13">
        <v>-1424</v>
      </c>
    </row>
    <row r="15" spans="1:10" x14ac:dyDescent="0.25">
      <c r="A15" t="s">
        <v>66</v>
      </c>
      <c r="B15">
        <v>20</v>
      </c>
      <c r="C15">
        <v>-45</v>
      </c>
      <c r="D15">
        <v>5</v>
      </c>
      <c r="E15">
        <v>-20</v>
      </c>
      <c r="F15">
        <v>47</v>
      </c>
      <c r="G15">
        <v>-7</v>
      </c>
      <c r="H15">
        <v>-278</v>
      </c>
      <c r="I15">
        <v>-502</v>
      </c>
      <c r="J15">
        <v>-287</v>
      </c>
    </row>
    <row r="16" spans="1:10" x14ac:dyDescent="0.25">
      <c r="A16" t="s">
        <v>90</v>
      </c>
    </row>
    <row r="17" spans="1:10" x14ac:dyDescent="0.25">
      <c r="A17" t="s">
        <v>67</v>
      </c>
      <c r="B17">
        <v>-440</v>
      </c>
      <c r="C17">
        <v>-149</v>
      </c>
      <c r="D17">
        <v>-233</v>
      </c>
      <c r="E17">
        <v>-550</v>
      </c>
      <c r="F17" s="13">
        <v>-2215</v>
      </c>
      <c r="G17">
        <v>822</v>
      </c>
      <c r="H17" s="13">
        <v>-6172</v>
      </c>
      <c r="I17" s="13">
        <v>-13063</v>
      </c>
      <c r="J17" s="13">
        <v>-15399</v>
      </c>
    </row>
    <row r="18" spans="1:10" x14ac:dyDescent="0.25">
      <c r="A18" t="s">
        <v>68</v>
      </c>
      <c r="B18">
        <v>0</v>
      </c>
      <c r="C18">
        <v>-776</v>
      </c>
      <c r="D18">
        <v>597</v>
      </c>
      <c r="E18">
        <v>-524</v>
      </c>
      <c r="F18">
        <v>-774</v>
      </c>
      <c r="G18" s="13">
        <v>-2554</v>
      </c>
      <c r="H18">
        <v>-98</v>
      </c>
      <c r="I18" s="13">
        <v>-4781</v>
      </c>
      <c r="J18" s="13">
        <v>-11324</v>
      </c>
    </row>
    <row r="19" spans="1:10" x14ac:dyDescent="0.25">
      <c r="A19" t="s">
        <v>69</v>
      </c>
      <c r="B19">
        <v>21</v>
      </c>
      <c r="C19">
        <v>-55</v>
      </c>
      <c r="D19">
        <v>77</v>
      </c>
      <c r="E19">
        <v>-394</v>
      </c>
      <c r="F19" s="13">
        <v>-1715</v>
      </c>
      <c r="G19" s="13">
        <v>-1517</v>
      </c>
      <c r="H19" s="13">
        <v>-1522</v>
      </c>
      <c r="I19">
        <v>-395</v>
      </c>
      <c r="J19">
        <v>577</v>
      </c>
    </row>
    <row r="20" spans="1:10" x14ac:dyDescent="0.25">
      <c r="A20" t="s">
        <v>70</v>
      </c>
      <c r="B20">
        <v>90</v>
      </c>
      <c r="C20">
        <v>-135</v>
      </c>
      <c r="D20">
        <v>194</v>
      </c>
      <c r="E20">
        <v>312</v>
      </c>
      <c r="F20">
        <v>568</v>
      </c>
      <c r="G20">
        <v>-551</v>
      </c>
      <c r="H20" s="13">
        <v>1531</v>
      </c>
      <c r="I20" s="13">
        <v>3357</v>
      </c>
      <c r="J20" s="13">
        <v>3096</v>
      </c>
    </row>
    <row r="21" spans="1:10" x14ac:dyDescent="0.25">
      <c r="A21" t="s">
        <v>71</v>
      </c>
      <c r="B21">
        <v>33</v>
      </c>
      <c r="C21">
        <v>256</v>
      </c>
      <c r="D21">
        <v>54</v>
      </c>
      <c r="E21">
        <v>290</v>
      </c>
      <c r="F21">
        <v>581</v>
      </c>
      <c r="G21" s="13">
        <v>1341</v>
      </c>
      <c r="H21" s="13">
        <v>2025</v>
      </c>
      <c r="I21" s="13">
        <v>4278</v>
      </c>
      <c r="J21" s="13">
        <v>5257</v>
      </c>
    </row>
    <row r="22" spans="1:10" x14ac:dyDescent="0.25">
      <c r="A22" t="s">
        <v>72</v>
      </c>
      <c r="B22">
        <v>481</v>
      </c>
      <c r="C22">
        <v>2</v>
      </c>
      <c r="D22">
        <v>28</v>
      </c>
      <c r="E22">
        <v>163</v>
      </c>
      <c r="F22">
        <v>192</v>
      </c>
      <c r="G22">
        <v>252</v>
      </c>
      <c r="H22">
        <v>514</v>
      </c>
      <c r="I22" s="13">
        <v>1221</v>
      </c>
      <c r="J22" s="13">
        <v>1844</v>
      </c>
    </row>
    <row r="23" spans="1:10" x14ac:dyDescent="0.25">
      <c r="A23" t="s">
        <v>73</v>
      </c>
      <c r="B23" s="13">
        <v>3502</v>
      </c>
      <c r="C23" s="13">
        <v>3743</v>
      </c>
      <c r="D23" s="13">
        <v>4761</v>
      </c>
      <c r="E23" s="13">
        <v>5822</v>
      </c>
      <c r="F23" s="13">
        <v>9108</v>
      </c>
      <c r="G23" s="13">
        <v>5641</v>
      </c>
      <c r="H23" s="13">
        <v>28090</v>
      </c>
      <c r="I23" s="13">
        <v>64089</v>
      </c>
      <c r="J23" s="13">
        <v>102718</v>
      </c>
    </row>
    <row r="24" spans="1:10" x14ac:dyDescent="0.25">
      <c r="A24" t="s">
        <v>74</v>
      </c>
    </row>
    <row r="25" spans="1:10" x14ac:dyDescent="0.25">
      <c r="A25" t="s">
        <v>75</v>
      </c>
      <c r="B25">
        <v>863</v>
      </c>
      <c r="C25">
        <v>428</v>
      </c>
      <c r="D25" s="13">
        <v>3365</v>
      </c>
      <c r="E25">
        <v>527</v>
      </c>
      <c r="F25" s="13">
        <v>1023</v>
      </c>
      <c r="G25" s="13">
        <v>1806</v>
      </c>
      <c r="H25">
        <v>50</v>
      </c>
      <c r="I25">
        <v>495</v>
      </c>
      <c r="J25" s="13">
        <v>15157</v>
      </c>
    </row>
    <row r="26" spans="1:10" x14ac:dyDescent="0.25">
      <c r="A26" t="s">
        <v>76</v>
      </c>
      <c r="B26" s="13">
        <v>1078</v>
      </c>
      <c r="C26" s="13">
        <v>7232</v>
      </c>
      <c r="D26" s="13">
        <v>4744</v>
      </c>
      <c r="E26" s="13">
        <v>8792</v>
      </c>
      <c r="F26" s="13">
        <v>15197</v>
      </c>
      <c r="G26" s="13">
        <v>19425</v>
      </c>
      <c r="H26" s="13">
        <v>9732</v>
      </c>
      <c r="I26" s="13">
        <v>11195</v>
      </c>
      <c r="J26" s="13">
        <v>11226</v>
      </c>
    </row>
    <row r="27" spans="1:10" x14ac:dyDescent="0.25">
      <c r="A27" t="s">
        <v>99</v>
      </c>
      <c r="H27">
        <v>1</v>
      </c>
      <c r="I27">
        <v>171</v>
      </c>
      <c r="J27">
        <v>84</v>
      </c>
    </row>
    <row r="28" spans="1:10" x14ac:dyDescent="0.25">
      <c r="A28" t="s">
        <v>78</v>
      </c>
      <c r="B28">
        <v>-36</v>
      </c>
      <c r="C28" s="13">
        <v>-11148</v>
      </c>
      <c r="D28" s="13">
        <v>-1461</v>
      </c>
      <c r="E28" s="13">
        <v>-19308</v>
      </c>
      <c r="F28" s="13">
        <v>-24787</v>
      </c>
      <c r="G28" s="13">
        <v>-11897</v>
      </c>
      <c r="H28" s="13">
        <v>-18211</v>
      </c>
      <c r="I28" s="13">
        <v>-26575</v>
      </c>
      <c r="J28" s="13">
        <v>-40616</v>
      </c>
    </row>
    <row r="29" spans="1:10" x14ac:dyDescent="0.25">
      <c r="A29" t="s">
        <v>100</v>
      </c>
      <c r="H29" s="13">
        <v>-862</v>
      </c>
      <c r="I29" s="13">
        <v>-1486</v>
      </c>
      <c r="J29" s="13">
        <v>-17502</v>
      </c>
    </row>
    <row r="30" spans="1:10" x14ac:dyDescent="0.25">
      <c r="A30" t="s">
        <v>101</v>
      </c>
      <c r="H30">
        <v>0</v>
      </c>
      <c r="I30">
        <v>0</v>
      </c>
      <c r="J30" s="13">
        <v>-13000</v>
      </c>
    </row>
    <row r="31" spans="1:10" x14ac:dyDescent="0.25">
      <c r="A31" t="s">
        <v>92</v>
      </c>
      <c r="B31">
        <v>-593</v>
      </c>
      <c r="C31">
        <v>-600</v>
      </c>
      <c r="D31">
        <v>-489</v>
      </c>
      <c r="E31" s="13">
        <v>-1128</v>
      </c>
      <c r="F31">
        <v>-976</v>
      </c>
      <c r="G31" s="13">
        <v>-1833</v>
      </c>
      <c r="H31" s="13">
        <v>-1069</v>
      </c>
      <c r="I31" s="13">
        <v>-3236</v>
      </c>
      <c r="J31" s="13">
        <v>-6042</v>
      </c>
    </row>
    <row r="32" spans="1:10" x14ac:dyDescent="0.25">
      <c r="A32" t="s">
        <v>93</v>
      </c>
      <c r="B32">
        <v>-36</v>
      </c>
      <c r="C32">
        <v>-9</v>
      </c>
      <c r="D32">
        <v>-14</v>
      </c>
      <c r="E32">
        <v>-34</v>
      </c>
      <c r="F32">
        <v>-24</v>
      </c>
      <c r="G32">
        <v>-77</v>
      </c>
      <c r="H32" s="13"/>
      <c r="I32" s="13"/>
      <c r="J32" s="13"/>
    </row>
    <row r="33" spans="1:10" x14ac:dyDescent="0.25">
      <c r="A33" t="s">
        <v>91</v>
      </c>
      <c r="E33" s="13">
        <v>-8524</v>
      </c>
      <c r="F33">
        <v>-263</v>
      </c>
      <c r="G33">
        <v>-49</v>
      </c>
      <c r="H33" s="13">
        <v>-83</v>
      </c>
      <c r="I33" s="13">
        <v>-1007</v>
      </c>
      <c r="J33" s="13">
        <v>-1535</v>
      </c>
    </row>
    <row r="34" spans="1:10" x14ac:dyDescent="0.25">
      <c r="A34" t="s">
        <v>77</v>
      </c>
      <c r="B34">
        <v>2</v>
      </c>
      <c r="C34">
        <v>0</v>
      </c>
      <c r="D34">
        <v>0</v>
      </c>
      <c r="E34" s="13"/>
      <c r="H34" s="13"/>
      <c r="I34" s="13"/>
      <c r="J34" s="13"/>
    </row>
    <row r="35" spans="1:10" x14ac:dyDescent="0.25">
      <c r="A35" t="s">
        <v>66</v>
      </c>
      <c r="H35">
        <v>-124</v>
      </c>
      <c r="I35">
        <v>22</v>
      </c>
      <c r="J35">
        <v>0</v>
      </c>
    </row>
    <row r="36" spans="1:10" x14ac:dyDescent="0.25">
      <c r="A36" t="s">
        <v>102</v>
      </c>
      <c r="B36" s="13">
        <v>1278</v>
      </c>
      <c r="C36" s="13">
        <v>-4097</v>
      </c>
      <c r="D36" s="13">
        <v>6145</v>
      </c>
      <c r="E36" s="13">
        <v>-19675</v>
      </c>
      <c r="F36" s="13">
        <v>-9830</v>
      </c>
      <c r="G36" s="13">
        <v>7375</v>
      </c>
      <c r="H36" s="13">
        <v>-10566</v>
      </c>
      <c r="I36" s="13">
        <v>-20421</v>
      </c>
      <c r="J36" s="13">
        <v>-52228</v>
      </c>
    </row>
    <row r="37" spans="1:10" x14ac:dyDescent="0.25">
      <c r="A37" t="s">
        <v>79</v>
      </c>
    </row>
    <row r="38" spans="1:10" x14ac:dyDescent="0.25">
      <c r="A38" t="s">
        <v>83</v>
      </c>
      <c r="E38">
        <v>194</v>
      </c>
      <c r="F38">
        <v>281</v>
      </c>
      <c r="G38">
        <v>355</v>
      </c>
      <c r="H38">
        <v>403</v>
      </c>
      <c r="I38">
        <v>490</v>
      </c>
      <c r="J38">
        <v>644</v>
      </c>
    </row>
    <row r="39" spans="1:10" x14ac:dyDescent="0.25">
      <c r="A39" t="s">
        <v>80</v>
      </c>
      <c r="B39">
        <v>-909</v>
      </c>
      <c r="C39" s="13">
        <v>-1579</v>
      </c>
      <c r="D39">
        <v>0</v>
      </c>
      <c r="E39">
        <v>0</v>
      </c>
      <c r="F39">
        <v>0</v>
      </c>
      <c r="G39" s="13">
        <v>-10039</v>
      </c>
      <c r="H39" s="13">
        <v>-9533</v>
      </c>
      <c r="I39" s="13">
        <v>-33706</v>
      </c>
      <c r="J39" s="13">
        <v>-40086</v>
      </c>
    </row>
    <row r="40" spans="1:10" x14ac:dyDescent="0.25">
      <c r="A40" t="s">
        <v>103</v>
      </c>
      <c r="B40">
        <v>139</v>
      </c>
      <c r="C40">
        <v>137</v>
      </c>
      <c r="D40">
        <v>149</v>
      </c>
      <c r="H40" s="13">
        <v>-2783</v>
      </c>
      <c r="I40" s="13">
        <v>-6930</v>
      </c>
      <c r="J40" s="13">
        <v>-7948</v>
      </c>
    </row>
    <row r="41" spans="1:10" x14ac:dyDescent="0.25">
      <c r="A41" t="s">
        <v>84</v>
      </c>
      <c r="B41">
        <v>-612</v>
      </c>
      <c r="C41" s="13">
        <v>-1032</v>
      </c>
      <c r="D41">
        <v>-551</v>
      </c>
      <c r="E41">
        <v>-942</v>
      </c>
      <c r="F41" s="13">
        <v>-1904</v>
      </c>
      <c r="G41" s="13">
        <v>-1475</v>
      </c>
      <c r="H41" s="13"/>
      <c r="I41" s="13"/>
      <c r="J41" s="13"/>
    </row>
    <row r="42" spans="1:10" x14ac:dyDescent="0.25">
      <c r="A42" t="s">
        <v>81</v>
      </c>
      <c r="B42">
        <v>-812</v>
      </c>
      <c r="C42">
        <v>-16</v>
      </c>
      <c r="D42">
        <v>0</v>
      </c>
      <c r="F42" s="13"/>
      <c r="G42" s="13"/>
      <c r="H42" s="13"/>
      <c r="I42" s="13"/>
      <c r="J42" s="13"/>
    </row>
    <row r="43" spans="1:10" x14ac:dyDescent="0.25">
      <c r="A43" t="s">
        <v>82</v>
      </c>
      <c r="B43">
        <v>-341</v>
      </c>
      <c r="C43">
        <v>-371</v>
      </c>
      <c r="D43">
        <v>-390</v>
      </c>
      <c r="E43">
        <v>-395</v>
      </c>
      <c r="F43">
        <v>-399</v>
      </c>
      <c r="G43">
        <v>-398</v>
      </c>
      <c r="H43" s="13">
        <v>-395</v>
      </c>
      <c r="I43" s="13">
        <v>-834</v>
      </c>
      <c r="J43">
        <v>-974</v>
      </c>
    </row>
    <row r="44" spans="1:10" x14ac:dyDescent="0.25">
      <c r="A44" t="s">
        <v>96</v>
      </c>
      <c r="E44">
        <v>-17</v>
      </c>
      <c r="F44">
        <v>-83</v>
      </c>
      <c r="G44">
        <v>-58</v>
      </c>
      <c r="H44">
        <v>-74</v>
      </c>
      <c r="I44">
        <v>-129</v>
      </c>
      <c r="J44">
        <v>-101</v>
      </c>
    </row>
    <row r="45" spans="1:10" x14ac:dyDescent="0.25">
      <c r="A45" t="s">
        <v>95</v>
      </c>
      <c r="E45">
        <v>0</v>
      </c>
      <c r="F45" s="13">
        <v>-1000</v>
      </c>
      <c r="G45">
        <v>0</v>
      </c>
      <c r="H45" s="13">
        <v>-1250</v>
      </c>
      <c r="I45" s="13">
        <v>-1250</v>
      </c>
      <c r="J45">
        <v>0</v>
      </c>
    </row>
    <row r="46" spans="1:10" x14ac:dyDescent="0.25">
      <c r="A46" s="13" t="s">
        <v>94</v>
      </c>
      <c r="E46" s="13">
        <v>4968</v>
      </c>
      <c r="F46" s="13">
        <v>4977</v>
      </c>
      <c r="G46">
        <v>0</v>
      </c>
      <c r="H46" s="13"/>
      <c r="I46" s="13"/>
    </row>
    <row r="47" spans="1:10" x14ac:dyDescent="0.25">
      <c r="A47" t="s">
        <v>66</v>
      </c>
      <c r="B47">
        <v>-9</v>
      </c>
      <c r="C47">
        <v>-5</v>
      </c>
      <c r="D47">
        <v>0</v>
      </c>
      <c r="E47">
        <v>-4</v>
      </c>
      <c r="F47">
        <v>-7</v>
      </c>
      <c r="G47">
        <v>-2</v>
      </c>
      <c r="H47">
        <v>-1</v>
      </c>
      <c r="I47" s="13">
        <v>0</v>
      </c>
      <c r="J47">
        <v>-9</v>
      </c>
    </row>
    <row r="48" spans="1:10" x14ac:dyDescent="0.25">
      <c r="A48" t="s">
        <v>104</v>
      </c>
      <c r="B48" s="13">
        <v>-2544</v>
      </c>
      <c r="C48" s="13">
        <v>-2866</v>
      </c>
      <c r="D48">
        <v>-792</v>
      </c>
      <c r="E48" s="13">
        <v>3804</v>
      </c>
      <c r="F48" s="13">
        <v>1865</v>
      </c>
      <c r="G48" s="13">
        <v>-11617</v>
      </c>
      <c r="H48" s="13">
        <v>-13633</v>
      </c>
      <c r="I48" s="13">
        <v>-42359</v>
      </c>
      <c r="J48" s="13">
        <v>-48474</v>
      </c>
    </row>
    <row r="49" spans="1:10" x14ac:dyDescent="0.25">
      <c r="A49" t="s">
        <v>85</v>
      </c>
      <c r="B49" s="13">
        <v>2236</v>
      </c>
      <c r="C49" s="13">
        <v>-3220</v>
      </c>
      <c r="D49" s="13">
        <v>10114</v>
      </c>
      <c r="E49" s="13">
        <v>-10049</v>
      </c>
      <c r="F49" s="13">
        <v>1143</v>
      </c>
      <c r="G49" s="13">
        <v>1399</v>
      </c>
      <c r="H49" s="13">
        <v>3891</v>
      </c>
      <c r="I49" s="13">
        <v>1309</v>
      </c>
      <c r="J49" s="13">
        <v>2016</v>
      </c>
    </row>
    <row r="50" spans="1:10" x14ac:dyDescent="0.25">
      <c r="A50" t="s">
        <v>86</v>
      </c>
      <c r="B50" s="13">
        <v>1766</v>
      </c>
      <c r="C50" s="13">
        <v>4002</v>
      </c>
      <c r="D50">
        <v>782</v>
      </c>
      <c r="E50" s="13">
        <v>10896</v>
      </c>
      <c r="F50">
        <v>847</v>
      </c>
      <c r="G50" s="13">
        <v>1990</v>
      </c>
      <c r="H50" s="13">
        <v>3389</v>
      </c>
      <c r="I50" s="13">
        <v>7280</v>
      </c>
      <c r="J50" s="13">
        <v>8589</v>
      </c>
    </row>
    <row r="51" spans="1:10" x14ac:dyDescent="0.25">
      <c r="A51" t="s">
        <v>87</v>
      </c>
      <c r="B51" s="13">
        <v>4002</v>
      </c>
      <c r="C51">
        <v>782</v>
      </c>
      <c r="D51" s="13">
        <v>10896</v>
      </c>
      <c r="E51">
        <v>847</v>
      </c>
      <c r="F51" s="13">
        <v>1990</v>
      </c>
      <c r="G51" s="13">
        <v>3389</v>
      </c>
      <c r="H51" s="13">
        <v>7280</v>
      </c>
      <c r="I51" s="13">
        <v>8589</v>
      </c>
      <c r="J51" s="13">
        <v>10605</v>
      </c>
    </row>
    <row r="52" spans="1:10" x14ac:dyDescent="0.25">
      <c r="A52" t="s">
        <v>88</v>
      </c>
    </row>
    <row r="53" spans="1:10" x14ac:dyDescent="0.25">
      <c r="A53" t="s">
        <v>89</v>
      </c>
      <c r="B53">
        <v>22</v>
      </c>
      <c r="C53">
        <v>61</v>
      </c>
      <c r="D53">
        <v>176</v>
      </c>
      <c r="E53">
        <v>249</v>
      </c>
      <c r="F53">
        <v>396</v>
      </c>
      <c r="G53" s="13">
        <v>1404</v>
      </c>
      <c r="H53" s="12">
        <v>6549</v>
      </c>
      <c r="I53" s="12">
        <v>15118</v>
      </c>
      <c r="J53" s="12">
        <v>20288</v>
      </c>
    </row>
    <row r="54" spans="1:10" x14ac:dyDescent="0.25">
      <c r="B54">
        <v>55</v>
      </c>
      <c r="C54">
        <v>55</v>
      </c>
      <c r="D54">
        <v>54</v>
      </c>
      <c r="E54" s="12">
        <v>138</v>
      </c>
      <c r="F54" s="12">
        <v>246</v>
      </c>
      <c r="G54" s="12">
        <v>254</v>
      </c>
    </row>
    <row r="55" spans="1:10" x14ac:dyDescent="0.25">
      <c r="I55" s="13"/>
    </row>
    <row r="56" spans="1:10" x14ac:dyDescent="0.25">
      <c r="B56" s="12">
        <v>36</v>
      </c>
      <c r="C56" s="12">
        <v>76</v>
      </c>
      <c r="D56" s="12">
        <v>212</v>
      </c>
      <c r="J56" s="13"/>
    </row>
    <row r="57" spans="1:10" x14ac:dyDescent="0.25">
      <c r="I57" s="13"/>
      <c r="J57" s="13"/>
    </row>
    <row r="58" spans="1:10" x14ac:dyDescent="0.25">
      <c r="H58" s="13"/>
      <c r="I58" s="13"/>
      <c r="J58" s="13"/>
    </row>
    <row r="59" spans="1:10" x14ac:dyDescent="0.25">
      <c r="I59" s="13"/>
    </row>
    <row r="60" spans="1:10" x14ac:dyDescent="0.25">
      <c r="H60" s="13"/>
    </row>
    <row r="63" spans="1:10" x14ac:dyDescent="0.25">
      <c r="H63" s="12"/>
      <c r="I63" s="12"/>
      <c r="J63" s="12"/>
    </row>
    <row r="69" spans="8:9" x14ac:dyDescent="0.25">
      <c r="H69" s="12"/>
      <c r="I69" s="12"/>
    </row>
    <row r="71" spans="8:9" x14ac:dyDescent="0.25">
      <c r="H71" s="13"/>
      <c r="I71" s="13"/>
    </row>
    <row r="72" spans="8:9" x14ac:dyDescent="0.25">
      <c r="H72" s="13"/>
      <c r="I72" s="13"/>
    </row>
    <row r="73" spans="8:9" x14ac:dyDescent="0.25">
      <c r="H73" s="13"/>
      <c r="I73" s="13"/>
    </row>
    <row r="74" spans="8:9" x14ac:dyDescent="0.25">
      <c r="H74" s="13"/>
      <c r="I74" s="13"/>
    </row>
    <row r="76" spans="8:9" x14ac:dyDescent="0.25">
      <c r="H76" s="13"/>
    </row>
    <row r="82" spans="8:9" x14ac:dyDescent="0.25">
      <c r="I82" s="13"/>
    </row>
    <row r="83" spans="8:9" x14ac:dyDescent="0.25">
      <c r="H83" s="13"/>
    </row>
    <row r="84" spans="8:9" x14ac:dyDescent="0.25">
      <c r="H84" s="13"/>
      <c r="I84" s="13"/>
    </row>
    <row r="85" spans="8:9" x14ac:dyDescent="0.25">
      <c r="I85" s="13"/>
    </row>
    <row r="86" spans="8:9" x14ac:dyDescent="0.25">
      <c r="H86" s="13"/>
      <c r="I86" s="13"/>
    </row>
    <row r="88" spans="8:9" x14ac:dyDescent="0.25">
      <c r="H88" s="13"/>
      <c r="I88" s="13"/>
    </row>
    <row r="90" spans="8:9" x14ac:dyDescent="0.25">
      <c r="H90" s="13"/>
    </row>
    <row r="91" spans="8:9" x14ac:dyDescent="0.25">
      <c r="H91" s="13"/>
      <c r="I91" s="13"/>
    </row>
    <row r="93" spans="8:9" x14ac:dyDescent="0.25">
      <c r="H93" s="13"/>
      <c r="I93" s="13"/>
    </row>
    <row r="94" spans="8:9" x14ac:dyDescent="0.25">
      <c r="H94" s="13"/>
      <c r="I94" s="13"/>
    </row>
    <row r="98" spans="8:9" x14ac:dyDescent="0.25">
      <c r="H98" s="13"/>
      <c r="I98" s="13"/>
    </row>
    <row r="100" spans="8:9" x14ac:dyDescent="0.25">
      <c r="I100" s="13"/>
    </row>
    <row r="101" spans="8:9" x14ac:dyDescent="0.25">
      <c r="I101" s="13"/>
    </row>
    <row r="102" spans="8:9" x14ac:dyDescent="0.25">
      <c r="I102" s="13"/>
    </row>
    <row r="103" spans="8:9" x14ac:dyDescent="0.25">
      <c r="I103" s="13"/>
    </row>
    <row r="104" spans="8:9" x14ac:dyDescent="0.25">
      <c r="I104" s="13"/>
    </row>
    <row r="105" spans="8:9" x14ac:dyDescent="0.25">
      <c r="I105" s="13"/>
    </row>
    <row r="108" spans="8:9" x14ac:dyDescent="0.25">
      <c r="H108" s="13"/>
      <c r="I108" s="13"/>
    </row>
    <row r="109" spans="8:9" x14ac:dyDescent="0.25">
      <c r="I109" s="13"/>
    </row>
    <row r="112" spans="8:9" x14ac:dyDescent="0.25">
      <c r="H112" s="13"/>
      <c r="I112" s="13"/>
    </row>
    <row r="117" spans="8:9" x14ac:dyDescent="0.25">
      <c r="H117" s="13"/>
      <c r="I117" s="13"/>
    </row>
    <row r="118" spans="8:9" x14ac:dyDescent="0.25">
      <c r="H118" s="13"/>
      <c r="I118" s="13"/>
    </row>
    <row r="119" spans="8:9" x14ac:dyDescent="0.25">
      <c r="H119" s="13"/>
      <c r="I119" s="13"/>
    </row>
    <row r="120" spans="8:9" x14ac:dyDescent="0.25">
      <c r="H120" s="13"/>
      <c r="I120" s="13"/>
    </row>
    <row r="122" spans="8:9" x14ac:dyDescent="0.25">
      <c r="H122" s="13"/>
      <c r="I122" s="13"/>
    </row>
    <row r="123" spans="8:9" x14ac:dyDescent="0.25">
      <c r="H123" s="12"/>
      <c r="I12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WACC</vt:lpstr>
      <vt:lpstr>DCF</vt:lpstr>
      <vt:lpstr>IS</vt:lpstr>
      <vt:lpstr>CFS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dchew99@student.ubc.ca</dc:creator>
  <cp:lastModifiedBy>dchew99@student.ubc.ca</cp:lastModifiedBy>
  <dcterms:created xsi:type="dcterms:W3CDTF">2026-09-30T06:25:53Z</dcterms:created>
  <dcterms:modified xsi:type="dcterms:W3CDTF">2026-10-06T07:06:51Z</dcterms:modified>
</cp:coreProperties>
</file>